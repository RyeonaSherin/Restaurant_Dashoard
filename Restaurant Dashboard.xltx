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131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C:\Users\ryeon\Downloads\"/>
    </mc:Choice>
  </mc:AlternateContent>
  <xr:revisionPtr revIDLastSave="0" documentId="8_{C19782D4-764C-4163-895D-6061E9E5D646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Sheet1" sheetId="4" r:id="rId1"/>
    <sheet name="Sheet2" sheetId="5" r:id="rId2"/>
    <sheet name="Sheet4" sheetId="6" r:id="rId3"/>
    <sheet name="Restaurant" sheetId="1" r:id="rId4"/>
    <sheet name="dashboard" sheetId="2" r:id="rId5"/>
    <sheet name="Sheet3" sheetId="3" r:id="rId6"/>
  </sheets>
  <calcPr calcId="191029"/>
  <pivotCaches>
    <pivotCache cacheId="0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19" i="1" l="1"/>
  <c r="N16" i="1"/>
  <c r="N15" i="1"/>
  <c r="N8" i="1"/>
  <c r="K29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2" i="1"/>
  <c r="J3" i="1"/>
  <c r="K3" i="1" s="1"/>
  <c r="J4" i="1"/>
  <c r="K4" i="1" s="1"/>
  <c r="J5" i="1"/>
  <c r="K5" i="1" s="1"/>
  <c r="J6" i="1"/>
  <c r="K6" i="1" s="1"/>
  <c r="J7" i="1"/>
  <c r="K7" i="1" s="1"/>
  <c r="J8" i="1"/>
  <c r="K8" i="1" s="1"/>
  <c r="J9" i="1"/>
  <c r="K9" i="1" s="1"/>
  <c r="J10" i="1"/>
  <c r="K10" i="1" s="1"/>
  <c r="J11" i="1"/>
  <c r="K11" i="1" s="1"/>
  <c r="J12" i="1"/>
  <c r="K12" i="1" s="1"/>
  <c r="J13" i="1"/>
  <c r="K13" i="1" s="1"/>
  <c r="J14" i="1"/>
  <c r="K14" i="1" s="1"/>
  <c r="J15" i="1"/>
  <c r="K15" i="1" s="1"/>
  <c r="J16" i="1"/>
  <c r="K16" i="1" s="1"/>
  <c r="J17" i="1"/>
  <c r="K17" i="1" s="1"/>
  <c r="J18" i="1"/>
  <c r="K18" i="1" s="1"/>
  <c r="J19" i="1"/>
  <c r="K19" i="1" s="1"/>
  <c r="J20" i="1"/>
  <c r="K20" i="1" s="1"/>
  <c r="J21" i="1"/>
  <c r="K21" i="1" s="1"/>
  <c r="J22" i="1"/>
  <c r="K22" i="1" s="1"/>
  <c r="J23" i="1"/>
  <c r="K23" i="1" s="1"/>
  <c r="J24" i="1"/>
  <c r="K24" i="1" s="1"/>
  <c r="J25" i="1"/>
  <c r="K25" i="1" s="1"/>
  <c r="J26" i="1"/>
  <c r="K26" i="1" s="1"/>
  <c r="J27" i="1"/>
  <c r="K27" i="1" s="1"/>
  <c r="J28" i="1"/>
  <c r="K28" i="1" s="1"/>
  <c r="J29" i="1"/>
  <c r="J30" i="1"/>
  <c r="K30" i="1" s="1"/>
  <c r="J31" i="1"/>
  <c r="K31" i="1" s="1"/>
  <c r="J2" i="1"/>
  <c r="K2" i="1" s="1"/>
  <c r="N12" i="1" l="1"/>
  <c r="N3" i="1"/>
  <c r="N4" i="1"/>
  <c r="N13" i="1"/>
  <c r="N5" i="1"/>
  <c r="N6" i="1"/>
  <c r="N7" i="1"/>
  <c r="N11" i="1"/>
  <c r="N20" i="1"/>
  <c r="N21" i="1"/>
  <c r="N14" i="1"/>
</calcChain>
</file>

<file path=xl/sharedStrings.xml><?xml version="1.0" encoding="utf-8"?>
<sst xmlns="http://schemas.openxmlformats.org/spreadsheetml/2006/main" count="193" uniqueCount="54">
  <si>
    <t>Order ID</t>
  </si>
  <si>
    <t>Date</t>
  </si>
  <si>
    <t>Product</t>
  </si>
  <si>
    <t>Price</t>
  </si>
  <si>
    <t>Quantity</t>
  </si>
  <si>
    <t>Purchase Type</t>
  </si>
  <si>
    <t>Payment Method</t>
  </si>
  <si>
    <t>Manager</t>
  </si>
  <si>
    <t>City</t>
  </si>
  <si>
    <t>Fries</t>
  </si>
  <si>
    <t xml:space="preserve">Online </t>
  </si>
  <si>
    <t>Tom Jackson</t>
  </si>
  <si>
    <t>London</t>
  </si>
  <si>
    <t xml:space="preserve">       Pablo Perez</t>
  </si>
  <si>
    <t>Madrid</t>
  </si>
  <si>
    <t>Sides &amp; Other</t>
  </si>
  <si>
    <t xml:space="preserve">In-store </t>
  </si>
  <si>
    <t>Joao    Silva</t>
  </si>
  <si>
    <t>Lisbon</t>
  </si>
  <si>
    <t>Burgers</t>
  </si>
  <si>
    <t>Walter Muller</t>
  </si>
  <si>
    <t>Chicken Sandwiches</t>
  </si>
  <si>
    <t>Remy    Monet</t>
  </si>
  <si>
    <t>Paris</t>
  </si>
  <si>
    <t>Remy Monet</t>
  </si>
  <si>
    <t xml:space="preserve">       Remy Monet</t>
  </si>
  <si>
    <t>Pablo Perez</t>
  </si>
  <si>
    <t>Pablo   Perez</t>
  </si>
  <si>
    <t>Pablo  Perez</t>
  </si>
  <si>
    <t>Pablo    Perez</t>
  </si>
  <si>
    <t>Joao Silva</t>
  </si>
  <si>
    <t>Cash</t>
  </si>
  <si>
    <t>Manager Name</t>
  </si>
  <si>
    <t>Total Price</t>
  </si>
  <si>
    <t>Sum of Total Sales</t>
  </si>
  <si>
    <t>Avg of Total Sales</t>
  </si>
  <si>
    <t>Min Sales</t>
  </si>
  <si>
    <t>Max sales</t>
  </si>
  <si>
    <t>count</t>
  </si>
  <si>
    <t>CountA</t>
  </si>
  <si>
    <t>Online Sales</t>
  </si>
  <si>
    <t>In-Store Sales</t>
  </si>
  <si>
    <t>Avg Online Sales</t>
  </si>
  <si>
    <t>Avg In-Store sales</t>
  </si>
  <si>
    <t>Count of Online Sales</t>
  </si>
  <si>
    <t xml:space="preserve"> Count of In-Store Sales</t>
  </si>
  <si>
    <t xml:space="preserve">Online &amp; Cash </t>
  </si>
  <si>
    <t>Gift Card</t>
  </si>
  <si>
    <t>Credit Card</t>
  </si>
  <si>
    <t>Row Labels</t>
  </si>
  <si>
    <t>(blank)</t>
  </si>
  <si>
    <t>Grand Total</t>
  </si>
  <si>
    <t>Sum of Total Price</t>
  </si>
  <si>
    <t>Sum of Quantity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</si>
</sst>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" fontId="0" fillId="0" borderId="0" xfId="0" applyNumberFormat="1"/>
    <xf numFmtId="1" fontId="0" fillId="0" borderId="0" xfId="0" applyNumberFormat="1"/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</cellXfs>
  <cellStyles count="1">
    <cellStyle name="Normal" xfId="0" builtinId="0"/>
  </cellStyles>
  <dxfs count="7">
    <dxf>
      <font>
        <color theme="1"/>
      </font>
      <fill>
        <patternFill>
          <bgColor rgb="FF00B050"/>
        </patternFill>
      </fill>
    </dxf>
    <dxf>
      <font>
        <color theme="1"/>
      </font>
      <fill>
        <patternFill>
          <bgColor rgb="FFFFFF00"/>
        </patternFill>
      </fill>
    </dxf>
    <dxf>
      <font>
        <color theme="3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6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Dashboard.xltx]Sheet1!PivotTable4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Sales</a:t>
            </a:r>
            <a:r>
              <a:rPr lang="en-US" baseline="0">
                <a:solidFill>
                  <a:schemeClr val="tx1"/>
                </a:solidFill>
              </a:rPr>
              <a:t> by city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Sheet1!$A$4:$A$8</c:f>
              <c:strCache>
                <c:ptCount val="4"/>
                <c:pt idx="0">
                  <c:v>Lisbon</c:v>
                </c:pt>
                <c:pt idx="1">
                  <c:v>London</c:v>
                </c:pt>
                <c:pt idx="2">
                  <c:v>Madrid</c:v>
                </c:pt>
                <c:pt idx="3">
                  <c:v>Paris</c:v>
                </c:pt>
              </c:strCache>
            </c:strRef>
          </c:cat>
          <c:val>
            <c:numRef>
              <c:f>Sheet1!$B$4:$B$8</c:f>
              <c:numCache>
                <c:formatCode>General</c:formatCode>
                <c:ptCount val="4"/>
                <c:pt idx="0">
                  <c:v>6599.9592000000002</c:v>
                </c:pt>
                <c:pt idx="1">
                  <c:v>28366.214100000005</c:v>
                </c:pt>
                <c:pt idx="2">
                  <c:v>35535.017300000007</c:v>
                </c:pt>
                <c:pt idx="3">
                  <c:v>16566.1567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72-4790-ABF5-55E29F60DD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11931887"/>
        <c:axId val="1711932367"/>
      </c:barChart>
      <c:catAx>
        <c:axId val="171193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32367"/>
        <c:crosses val="autoZero"/>
        <c:auto val="1"/>
        <c:lblAlgn val="ctr"/>
        <c:lblOffset val="100"/>
        <c:noMultiLvlLbl val="0"/>
      </c:catAx>
      <c:valAx>
        <c:axId val="17119323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31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Dashboard.xltx]Sheet2!PivotTable5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Quantity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89BD-4707-81AA-BF6998C4282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89BD-4707-81AA-BF6998C4282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89BD-4707-81AA-BF6998C4282F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89BD-4707-81AA-BF6998C4282F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89BD-4707-81AA-BF6998C4282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Sheet2!$A$4:$A$9</c:f>
              <c:strCache>
                <c:ptCount val="5"/>
                <c:pt idx="0">
                  <c:v>Burgers</c:v>
                </c:pt>
                <c:pt idx="1">
                  <c:v>Chicken Sandwiches</c:v>
                </c:pt>
                <c:pt idx="2">
                  <c:v>Fries</c:v>
                </c:pt>
                <c:pt idx="3">
                  <c:v>Sides &amp; Other</c:v>
                </c:pt>
                <c:pt idx="4">
                  <c:v>(blank)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3264.04</c:v>
                </c:pt>
                <c:pt idx="1">
                  <c:v>1206.06</c:v>
                </c:pt>
                <c:pt idx="2">
                  <c:v>7641.0300000000007</c:v>
                </c:pt>
                <c:pt idx="3">
                  <c:v>1202.4000000000001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9-4C27-95F8-0FDFCD010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Dashboard.xltx]Sheet4!PivotTable6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Date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Sheet4!$A$4:$A$12</c:f>
              <c:strCache>
                <c:ptCount val="8"/>
                <c:pt idx="0">
                  <c:v>07-11-2022</c:v>
                </c:pt>
                <c:pt idx="1">
                  <c:v>08-11-2022</c:v>
                </c:pt>
                <c:pt idx="2">
                  <c:v>09-11-2022</c:v>
                </c:pt>
                <c:pt idx="3">
                  <c:v>10-11-2022</c:v>
                </c:pt>
                <c:pt idx="4">
                  <c:v>11-11-2022</c:v>
                </c:pt>
                <c:pt idx="5">
                  <c:v>12-11-2022</c:v>
                </c:pt>
                <c:pt idx="6">
                  <c:v>13-11-2022</c:v>
                </c:pt>
                <c:pt idx="7">
                  <c:v>(blank)</c:v>
                </c:pt>
              </c:strCache>
            </c:strRef>
          </c:cat>
          <c:val>
            <c:numRef>
              <c:f>Sheet4!$B$4:$B$12</c:f>
              <c:numCache>
                <c:formatCode>General</c:formatCode>
                <c:ptCount val="8"/>
                <c:pt idx="0">
                  <c:v>5602.712700000001</c:v>
                </c:pt>
                <c:pt idx="1">
                  <c:v>13400.069100000001</c:v>
                </c:pt>
                <c:pt idx="2">
                  <c:v>14566.142400000001</c:v>
                </c:pt>
                <c:pt idx="3">
                  <c:v>13566.146400000001</c:v>
                </c:pt>
                <c:pt idx="4">
                  <c:v>14766.1194</c:v>
                </c:pt>
                <c:pt idx="5">
                  <c:v>14366.157299999999</c:v>
                </c:pt>
                <c:pt idx="6">
                  <c:v>10800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A-4031-B911-B6084A794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81103"/>
        <c:axId val="355681583"/>
      </c:lineChart>
      <c:catAx>
        <c:axId val="35568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81583"/>
        <c:crosses val="autoZero"/>
        <c:auto val="1"/>
        <c:lblAlgn val="ctr"/>
        <c:lblOffset val="100"/>
        <c:noMultiLvlLbl val="0"/>
      </c:catAx>
      <c:valAx>
        <c:axId val="35568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8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Dashboard.xltx]Sheet1!PivotTable4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Sales</a:t>
            </a:r>
            <a:r>
              <a:rPr lang="en-US" baseline="0">
                <a:solidFill>
                  <a:schemeClr val="tx1"/>
                </a:solidFill>
              </a:rPr>
              <a:t> by city</a:t>
            </a:r>
            <a:endParaRPr lang="en-US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7030A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solidFill>
            <a:srgbClr val="FF000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solidFill>
            <a:srgbClr val="92D050"/>
          </a:soli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1000"/>
                    <a:satMod val="130000"/>
                  </a:schemeClr>
                </a:gs>
                <a:gs pos="80000">
                  <a:schemeClr val="accent1">
                    <a:shade val="93000"/>
                    <a:satMod val="130000"/>
                  </a:schemeClr>
                </a:gs>
                <a:gs pos="100000">
                  <a:schemeClr val="accent1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1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4-59DF-407D-89A8-28781815C78E}"/>
              </c:ext>
            </c:extLst>
          </c:dPt>
          <c:dPt>
            <c:idx val="2"/>
            <c:invertIfNegative val="0"/>
            <c:bubble3D val="0"/>
            <c:spPr>
              <a:solidFill>
                <a:srgbClr val="7030A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59DF-407D-89A8-28781815C78E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9DF-407D-89A8-28781815C78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Sheet1!$A$4:$A$8</c:f>
              <c:strCache>
                <c:ptCount val="4"/>
                <c:pt idx="0">
                  <c:v>Lisbon</c:v>
                </c:pt>
                <c:pt idx="1">
                  <c:v>London</c:v>
                </c:pt>
                <c:pt idx="2">
                  <c:v>Madrid</c:v>
                </c:pt>
                <c:pt idx="3">
                  <c:v>Paris</c:v>
                </c:pt>
              </c:strCache>
            </c:strRef>
          </c:cat>
          <c:val>
            <c:numRef>
              <c:f>Sheet1!$B$4:$B$8</c:f>
              <c:numCache>
                <c:formatCode>General</c:formatCode>
                <c:ptCount val="4"/>
                <c:pt idx="0">
                  <c:v>6599.9592000000002</c:v>
                </c:pt>
                <c:pt idx="1">
                  <c:v>28366.214100000005</c:v>
                </c:pt>
                <c:pt idx="2">
                  <c:v>35535.017300000007</c:v>
                </c:pt>
                <c:pt idx="3">
                  <c:v>16566.1567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F-407D-89A8-28781815C7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24"/>
        <c:axId val="1711931887"/>
        <c:axId val="1711932367"/>
      </c:barChart>
      <c:catAx>
        <c:axId val="17119318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32367"/>
        <c:crosses val="autoZero"/>
        <c:auto val="1"/>
        <c:lblAlgn val="ctr"/>
        <c:lblOffset val="100"/>
        <c:noMultiLvlLbl val="0"/>
      </c:catAx>
      <c:valAx>
        <c:axId val="171193236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9318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Dashboard.xltx]Sheet2!PivotTable5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Quantity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3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4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5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6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7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3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9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  <c:pivotFmt>
        <c:idx val="12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>
            <a:noFill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</c:pivotFmt>
    </c:pivotFmts>
    <c:plotArea>
      <c:layout/>
      <c:pieChart>
        <c:varyColors val="1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hade val="51000"/>
                      <a:satMod val="130000"/>
                    </a:schemeClr>
                  </a:gs>
                  <a:gs pos="80000">
                    <a:schemeClr val="accent1">
                      <a:shade val="93000"/>
                      <a:satMod val="130000"/>
                    </a:schemeClr>
                  </a:gs>
                  <a:gs pos="100000">
                    <a:schemeClr val="accent1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1-5DE4-4109-8EAA-A966B840F2E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hade val="51000"/>
                      <a:satMod val="130000"/>
                    </a:schemeClr>
                  </a:gs>
                  <a:gs pos="80000">
                    <a:schemeClr val="accent2">
                      <a:shade val="93000"/>
                      <a:satMod val="130000"/>
                    </a:schemeClr>
                  </a:gs>
                  <a:gs pos="100000">
                    <a:schemeClr val="accent2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3-5DE4-4109-8EAA-A966B840F2E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hade val="51000"/>
                      <a:satMod val="130000"/>
                    </a:schemeClr>
                  </a:gs>
                  <a:gs pos="80000">
                    <a:schemeClr val="accent3">
                      <a:shade val="93000"/>
                      <a:satMod val="130000"/>
                    </a:schemeClr>
                  </a:gs>
                  <a:gs pos="100000">
                    <a:schemeClr val="accent3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5-5DE4-4109-8EAA-A966B840F2E9}"/>
              </c:ext>
            </c:extLst>
          </c:dPt>
          <c:dPt>
            <c:idx val="3"/>
            <c:bubble3D val="0"/>
            <c:spPr>
              <a:gradFill rotWithShape="1">
                <a:gsLst>
                  <a:gs pos="0">
                    <a:schemeClr val="accent4">
                      <a:shade val="51000"/>
                      <a:satMod val="130000"/>
                    </a:schemeClr>
                  </a:gs>
                  <a:gs pos="80000">
                    <a:schemeClr val="accent4">
                      <a:shade val="93000"/>
                      <a:satMod val="130000"/>
                    </a:schemeClr>
                  </a:gs>
                  <a:gs pos="100000">
                    <a:schemeClr val="accent4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7-5DE4-4109-8EAA-A966B840F2E9}"/>
              </c:ext>
            </c:extLst>
          </c:dPt>
          <c:dPt>
            <c:idx val="4"/>
            <c:bubble3D val="0"/>
            <c:spPr>
              <a:gradFill rotWithShape="1">
                <a:gsLst>
                  <a:gs pos="0">
                    <a:schemeClr val="accent5">
                      <a:shade val="51000"/>
                      <a:satMod val="130000"/>
                    </a:schemeClr>
                  </a:gs>
                  <a:gs pos="80000">
                    <a:schemeClr val="accent5">
                      <a:shade val="93000"/>
                      <a:satMod val="130000"/>
                    </a:schemeClr>
                  </a:gs>
                  <a:gs pos="100000">
                    <a:schemeClr val="accent5">
                      <a:shade val="94000"/>
                      <a:satMod val="135000"/>
                    </a:schemeClr>
                  </a:gs>
                </a:gsLst>
                <a:lin ang="16200000" scaled="0"/>
              </a:gradFill>
              <a:ln>
                <a:noFill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9-5DE4-4109-8EAA-A966B840F2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3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Sheet2!$A$4:$A$9</c:f>
              <c:strCache>
                <c:ptCount val="5"/>
                <c:pt idx="0">
                  <c:v>Burgers</c:v>
                </c:pt>
                <c:pt idx="1">
                  <c:v>Chicken Sandwiches</c:v>
                </c:pt>
                <c:pt idx="2">
                  <c:v>Fries</c:v>
                </c:pt>
                <c:pt idx="3">
                  <c:v>Sides &amp; Other</c:v>
                </c:pt>
                <c:pt idx="4">
                  <c:v>(blank)</c:v>
                </c:pt>
              </c:strCache>
            </c:strRef>
          </c:cat>
          <c:val>
            <c:numRef>
              <c:f>Sheet2!$B$4:$B$9</c:f>
              <c:numCache>
                <c:formatCode>General</c:formatCode>
                <c:ptCount val="5"/>
                <c:pt idx="0">
                  <c:v>3264.04</c:v>
                </c:pt>
                <c:pt idx="1">
                  <c:v>1206.06</c:v>
                </c:pt>
                <c:pt idx="2">
                  <c:v>7641.0300000000007</c:v>
                </c:pt>
                <c:pt idx="3">
                  <c:v>1202.4000000000001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99-4C27-95F8-0FDFCD010C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[Restaurant Dashboard.xltx]Sheet4!PivotTable6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tx1"/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tx1"/>
                </a:solidFill>
              </a:rPr>
              <a:t>Date wise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tx1"/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hade val="51000"/>
                  <a:satMod val="130000"/>
                </a:schemeClr>
              </a:gs>
              <a:gs pos="80000">
                <a:schemeClr val="accent1">
                  <a:shade val="93000"/>
                  <a:satMod val="130000"/>
                </a:schemeClr>
              </a:gs>
              <a:gs pos="100000">
                <a:schemeClr val="accent1">
                  <a:shade val="94000"/>
                  <a:satMod val="135000"/>
                </a:schemeClr>
              </a:gs>
            </a:gsLst>
            <a:lin ang="16200000" scaled="0"/>
          </a:gradFill>
          <a:ln w="34925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34925" cap="rnd">
            <a:solidFill>
              <a:srgbClr val="FF0000"/>
            </a:solidFill>
            <a:round/>
          </a:ln>
          <a:effectLst>
            <a:outerShdw blurRad="40000" dist="23000" dir="5400000" rotWithShape="0">
              <a:srgbClr val="000000">
                <a:alpha val="35000"/>
              </a:srgbClr>
            </a:outerShdw>
          </a:effectLst>
        </c:spPr>
        <c:marker>
          <c:symbol val="circle"/>
          <c:size val="6"/>
          <c:spPr>
            <a:solidFill>
              <a:srgbClr val="FF0000"/>
            </a:solidFill>
            <a:ln w="9525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Sheet4!$B$3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rgbClr val="FF0000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circle"/>
            <c:size val="6"/>
            <c:spPr>
              <a:solidFill>
                <a:srgbClr val="FF0000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Sheet4!$A$4:$A$12</c:f>
              <c:strCache>
                <c:ptCount val="8"/>
                <c:pt idx="0">
                  <c:v>07-11-2022</c:v>
                </c:pt>
                <c:pt idx="1">
                  <c:v>08-11-2022</c:v>
                </c:pt>
                <c:pt idx="2">
                  <c:v>09-11-2022</c:v>
                </c:pt>
                <c:pt idx="3">
                  <c:v>10-11-2022</c:v>
                </c:pt>
                <c:pt idx="4">
                  <c:v>11-11-2022</c:v>
                </c:pt>
                <c:pt idx="5">
                  <c:v>12-11-2022</c:v>
                </c:pt>
                <c:pt idx="6">
                  <c:v>13-11-2022</c:v>
                </c:pt>
                <c:pt idx="7">
                  <c:v>(blank)</c:v>
                </c:pt>
              </c:strCache>
            </c:strRef>
          </c:cat>
          <c:val>
            <c:numRef>
              <c:f>Sheet4!$B$4:$B$12</c:f>
              <c:numCache>
                <c:formatCode>General</c:formatCode>
                <c:ptCount val="8"/>
                <c:pt idx="0">
                  <c:v>5602.712700000001</c:v>
                </c:pt>
                <c:pt idx="1">
                  <c:v>13400.069100000001</c:v>
                </c:pt>
                <c:pt idx="2">
                  <c:v>14566.142400000001</c:v>
                </c:pt>
                <c:pt idx="3">
                  <c:v>13566.146400000001</c:v>
                </c:pt>
                <c:pt idx="4">
                  <c:v>14766.1194</c:v>
                </c:pt>
                <c:pt idx="5">
                  <c:v>14366.157299999999</c:v>
                </c:pt>
                <c:pt idx="6">
                  <c:v>10800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1A-4031-B911-B6084A794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5681103"/>
        <c:axId val="355681583"/>
      </c:lineChart>
      <c:catAx>
        <c:axId val="3556811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81583"/>
        <c:crosses val="autoZero"/>
        <c:auto val="1"/>
        <c:lblAlgn val="ctr"/>
        <c:lblOffset val="100"/>
        <c:noMultiLvlLbl val="0"/>
      </c:catAx>
      <c:valAx>
        <c:axId val="35568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56811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6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541020</xdr:colOff>
      <xdr:row>6</xdr:row>
      <xdr:rowOff>41910</xdr:rowOff>
    </xdr:from>
    <xdr:to>
      <xdr:col>11</xdr:col>
      <xdr:colOff>236220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0ACF2E-E899-0694-6966-F9BDABFF08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304800</xdr:colOff>
      <xdr:row>6</xdr:row>
      <xdr:rowOff>41910</xdr:rowOff>
    </xdr:from>
    <xdr:to>
      <xdr:col>11</xdr:col>
      <xdr:colOff>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B484224-5FD9-62DA-B682-8B05B81460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350520</xdr:colOff>
      <xdr:row>6</xdr:row>
      <xdr:rowOff>41910</xdr:rowOff>
    </xdr:from>
    <xdr:to>
      <xdr:col>11</xdr:col>
      <xdr:colOff>45720</xdr:colOff>
      <xdr:row>21</xdr:row>
      <xdr:rowOff>41910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0193F9A-05E4-27FF-DDC7-2F2DA893D3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205740</xdr:colOff>
      <xdr:row>1</xdr:row>
      <xdr:rowOff>162197</xdr:rowOff>
    </xdr:from>
    <xdr:to>
      <xdr:col>21</xdr:col>
      <xdr:colOff>457200</xdr:colOff>
      <xdr:row>41</xdr:row>
      <xdr:rowOff>164275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F93C11DF-7164-6FDC-AFB3-84E19199CB9C}"/>
            </a:ext>
          </a:extLst>
        </xdr:cNvPr>
        <xdr:cNvSpPr/>
      </xdr:nvSpPr>
      <xdr:spPr>
        <a:xfrm>
          <a:off x="813526" y="343626"/>
          <a:ext cx="12407174" cy="7259220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571500</xdr:colOff>
      <xdr:row>2</xdr:row>
      <xdr:rowOff>114300</xdr:rowOff>
    </xdr:from>
    <xdr:to>
      <xdr:col>21</xdr:col>
      <xdr:colOff>38100</xdr:colOff>
      <xdr:row>6</xdr:row>
      <xdr:rowOff>53340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71F03C2-3A54-605D-DAA1-974C77ED489D}"/>
            </a:ext>
          </a:extLst>
        </xdr:cNvPr>
        <xdr:cNvSpPr/>
      </xdr:nvSpPr>
      <xdr:spPr>
        <a:xfrm>
          <a:off x="1181100" y="480060"/>
          <a:ext cx="11658600" cy="6705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106680</xdr:colOff>
      <xdr:row>3</xdr:row>
      <xdr:rowOff>60960</xdr:rowOff>
    </xdr:from>
    <xdr:to>
      <xdr:col>20</xdr:col>
      <xdr:colOff>556260</xdr:colOff>
      <xdr:row>5</xdr:row>
      <xdr:rowOff>144780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21B4DAA5-7518-C416-39F0-050D045D373A}"/>
            </a:ext>
          </a:extLst>
        </xdr:cNvPr>
        <xdr:cNvSpPr txBox="1"/>
      </xdr:nvSpPr>
      <xdr:spPr>
        <a:xfrm>
          <a:off x="1325880" y="609600"/>
          <a:ext cx="11422380" cy="4495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IN" sz="2400" b="1">
              <a:solidFill>
                <a:schemeClr val="bg1"/>
              </a:solidFill>
            </a:rPr>
            <a:t>Restaurant</a:t>
          </a:r>
          <a:r>
            <a:rPr lang="en-IN" sz="2400" b="1" baseline="0">
              <a:solidFill>
                <a:schemeClr val="bg1"/>
              </a:solidFill>
            </a:rPr>
            <a:t> Dashboard</a:t>
          </a:r>
          <a:endParaRPr lang="en-IN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480060</xdr:colOff>
      <xdr:row>9</xdr:row>
      <xdr:rowOff>60960</xdr:rowOff>
    </xdr:from>
    <xdr:to>
      <xdr:col>6</xdr:col>
      <xdr:colOff>243840</xdr:colOff>
      <xdr:row>18</xdr:row>
      <xdr:rowOff>83820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ED7C18E-6B01-622F-4C08-247E5C0001DC}"/>
            </a:ext>
          </a:extLst>
        </xdr:cNvPr>
        <xdr:cNvGrpSpPr/>
      </xdr:nvGrpSpPr>
      <xdr:grpSpPr>
        <a:xfrm>
          <a:off x="1086196" y="1697528"/>
          <a:ext cx="2794462" cy="1659428"/>
          <a:chOff x="1303020" y="1691640"/>
          <a:chExt cx="2811780" cy="166878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82C08F1B-BB2B-6FC0-72A0-0B784065150D}"/>
              </a:ext>
            </a:extLst>
          </xdr:cNvPr>
          <xdr:cNvSpPr/>
        </xdr:nvSpPr>
        <xdr:spPr>
          <a:xfrm>
            <a:off x="1303020" y="1691640"/>
            <a:ext cx="2811780" cy="165354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9AFC4F9B-98F1-4E94-941B-1452FE6D9BB8}"/>
              </a:ext>
            </a:extLst>
          </xdr:cNvPr>
          <xdr:cNvSpPr/>
        </xdr:nvSpPr>
        <xdr:spPr>
          <a:xfrm>
            <a:off x="1303020" y="1706880"/>
            <a:ext cx="1226820" cy="165354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FD96330-CAD8-72C9-3280-67E3A8E368DE}"/>
              </a:ext>
            </a:extLst>
          </xdr:cNvPr>
          <xdr:cNvSpPr txBox="1"/>
        </xdr:nvSpPr>
        <xdr:spPr>
          <a:xfrm>
            <a:off x="2659380" y="2004060"/>
            <a:ext cx="1333500" cy="381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IN" sz="1800" b="1"/>
              <a:t>Total Sales</a:t>
            </a: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B1B0C3B9-EE5C-0FDD-3C3D-223ACC0828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63041" y="2110523"/>
            <a:ext cx="922237" cy="922237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487680</xdr:colOff>
      <xdr:row>9</xdr:row>
      <xdr:rowOff>38100</xdr:rowOff>
    </xdr:from>
    <xdr:to>
      <xdr:col>11</xdr:col>
      <xdr:colOff>251460</xdr:colOff>
      <xdr:row>18</xdr:row>
      <xdr:rowOff>60960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90BF689-BB33-4976-92A0-F34669CB6996}"/>
            </a:ext>
          </a:extLst>
        </xdr:cNvPr>
        <xdr:cNvGrpSpPr/>
      </xdr:nvGrpSpPr>
      <xdr:grpSpPr>
        <a:xfrm>
          <a:off x="4124498" y="1674668"/>
          <a:ext cx="2794462" cy="1659428"/>
          <a:chOff x="1303020" y="1691640"/>
          <a:chExt cx="2811780" cy="166878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87E26F6E-A554-EE63-F313-E6C95A46FD77}"/>
              </a:ext>
            </a:extLst>
          </xdr:cNvPr>
          <xdr:cNvSpPr/>
        </xdr:nvSpPr>
        <xdr:spPr>
          <a:xfrm>
            <a:off x="1303020" y="1691640"/>
            <a:ext cx="2811780" cy="165354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3" name="Rectangle: Rounded Corners 12">
            <a:extLst>
              <a:ext uri="{FF2B5EF4-FFF2-40B4-BE49-F238E27FC236}">
                <a16:creationId xmlns:a16="http://schemas.microsoft.com/office/drawing/2014/main" id="{53CA887D-123B-E013-A637-BD8627ABD38D}"/>
              </a:ext>
            </a:extLst>
          </xdr:cNvPr>
          <xdr:cNvSpPr/>
        </xdr:nvSpPr>
        <xdr:spPr>
          <a:xfrm>
            <a:off x="1303020" y="1706880"/>
            <a:ext cx="1226820" cy="165354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4" name="TextBox 13">
            <a:extLst>
              <a:ext uri="{FF2B5EF4-FFF2-40B4-BE49-F238E27FC236}">
                <a16:creationId xmlns:a16="http://schemas.microsoft.com/office/drawing/2014/main" id="{C1076FDC-6F92-E05D-EC4E-252A9944F750}"/>
              </a:ext>
            </a:extLst>
          </xdr:cNvPr>
          <xdr:cNvSpPr txBox="1"/>
        </xdr:nvSpPr>
        <xdr:spPr>
          <a:xfrm>
            <a:off x="2545080" y="1996440"/>
            <a:ext cx="1546860" cy="381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IN" sz="1800" b="1"/>
              <a:t>Average Sales</a:t>
            </a:r>
          </a:p>
        </xdr:txBody>
      </xdr:sp>
    </xdr:grpSp>
    <xdr:clientData/>
  </xdr:twoCellAnchor>
  <xdr:twoCellAnchor>
    <xdr:from>
      <xdr:col>16</xdr:col>
      <xdr:colOff>403860</xdr:colOff>
      <xdr:row>9</xdr:row>
      <xdr:rowOff>15240</xdr:rowOff>
    </xdr:from>
    <xdr:to>
      <xdr:col>21</xdr:col>
      <xdr:colOff>167640</xdr:colOff>
      <xdr:row>18</xdr:row>
      <xdr:rowOff>38100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9D42BCC6-F2A4-4C90-B368-3E836FD309D7}"/>
            </a:ext>
          </a:extLst>
        </xdr:cNvPr>
        <xdr:cNvGrpSpPr/>
      </xdr:nvGrpSpPr>
      <xdr:grpSpPr>
        <a:xfrm>
          <a:off x="10102042" y="1651808"/>
          <a:ext cx="2794462" cy="1659428"/>
          <a:chOff x="1303020" y="1691640"/>
          <a:chExt cx="2811780" cy="1668780"/>
        </a:xfrm>
      </xdr:grpSpPr>
      <xdr:sp macro="" textlink="">
        <xdr:nvSpPr>
          <xdr:cNvPr id="17" name="Rectangle: Rounded Corners 16">
            <a:extLst>
              <a:ext uri="{FF2B5EF4-FFF2-40B4-BE49-F238E27FC236}">
                <a16:creationId xmlns:a16="http://schemas.microsoft.com/office/drawing/2014/main" id="{7CDB75E8-ED2D-B5AF-A35D-16B23F9A5B39}"/>
              </a:ext>
            </a:extLst>
          </xdr:cNvPr>
          <xdr:cNvSpPr/>
        </xdr:nvSpPr>
        <xdr:spPr>
          <a:xfrm>
            <a:off x="1303020" y="1691640"/>
            <a:ext cx="2811780" cy="165354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8" name="Rectangle: Rounded Corners 17">
            <a:extLst>
              <a:ext uri="{FF2B5EF4-FFF2-40B4-BE49-F238E27FC236}">
                <a16:creationId xmlns:a16="http://schemas.microsoft.com/office/drawing/2014/main" id="{FB83C96B-5353-35A4-35CB-BF1F18760FBB}"/>
              </a:ext>
            </a:extLst>
          </xdr:cNvPr>
          <xdr:cNvSpPr/>
        </xdr:nvSpPr>
        <xdr:spPr>
          <a:xfrm>
            <a:off x="1303020" y="1706880"/>
            <a:ext cx="1226820" cy="165354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F6DFD766-EF59-1EC4-F6B5-E95F6CD7676C}"/>
              </a:ext>
            </a:extLst>
          </xdr:cNvPr>
          <xdr:cNvSpPr txBox="1"/>
        </xdr:nvSpPr>
        <xdr:spPr>
          <a:xfrm>
            <a:off x="2659380" y="2004060"/>
            <a:ext cx="1394460" cy="381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IN" sz="1700" b="1"/>
              <a:t>In-StoreSales</a:t>
            </a:r>
          </a:p>
        </xdr:txBody>
      </xdr:sp>
    </xdr:grpSp>
    <xdr:clientData/>
  </xdr:twoCellAnchor>
  <xdr:twoCellAnchor>
    <xdr:from>
      <xdr:col>11</xdr:col>
      <xdr:colOff>464820</xdr:colOff>
      <xdr:row>9</xdr:row>
      <xdr:rowOff>22860</xdr:rowOff>
    </xdr:from>
    <xdr:to>
      <xdr:col>16</xdr:col>
      <xdr:colOff>228600</xdr:colOff>
      <xdr:row>18</xdr:row>
      <xdr:rowOff>45720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54965D25-D5AB-45D0-B7AE-9F42038CE855}"/>
            </a:ext>
          </a:extLst>
        </xdr:cNvPr>
        <xdr:cNvGrpSpPr/>
      </xdr:nvGrpSpPr>
      <xdr:grpSpPr>
        <a:xfrm>
          <a:off x="7132320" y="1659428"/>
          <a:ext cx="2794462" cy="1659428"/>
          <a:chOff x="1303020" y="1691640"/>
          <a:chExt cx="2811780" cy="1668780"/>
        </a:xfrm>
      </xdr:grpSpPr>
      <xdr:sp macro="" textlink="">
        <xdr:nvSpPr>
          <xdr:cNvPr id="22" name="Rectangle: Rounded Corners 21">
            <a:extLst>
              <a:ext uri="{FF2B5EF4-FFF2-40B4-BE49-F238E27FC236}">
                <a16:creationId xmlns:a16="http://schemas.microsoft.com/office/drawing/2014/main" id="{D693C794-0F3E-6739-25BA-BC5A100FE782}"/>
              </a:ext>
            </a:extLst>
          </xdr:cNvPr>
          <xdr:cNvSpPr/>
        </xdr:nvSpPr>
        <xdr:spPr>
          <a:xfrm>
            <a:off x="1303020" y="1691640"/>
            <a:ext cx="2811780" cy="1653540"/>
          </a:xfrm>
          <a:prstGeom prst="roundRect">
            <a:avLst/>
          </a:prstGeom>
          <a:solidFill>
            <a:schemeClr val="bg1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3" name="Rectangle: Rounded Corners 22">
            <a:extLst>
              <a:ext uri="{FF2B5EF4-FFF2-40B4-BE49-F238E27FC236}">
                <a16:creationId xmlns:a16="http://schemas.microsoft.com/office/drawing/2014/main" id="{5161615F-86CC-4D0A-12DC-14A96FBA1F8F}"/>
              </a:ext>
            </a:extLst>
          </xdr:cNvPr>
          <xdr:cNvSpPr/>
        </xdr:nvSpPr>
        <xdr:spPr>
          <a:xfrm>
            <a:off x="1303020" y="1706880"/>
            <a:ext cx="1226820" cy="1653540"/>
          </a:xfrm>
          <a:prstGeom prst="roundRect">
            <a:avLst/>
          </a:prstGeom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IN" sz="1100"/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5FDB77C2-78FB-AC3A-D0FE-AA9DC431A517}"/>
              </a:ext>
            </a:extLst>
          </xdr:cNvPr>
          <xdr:cNvSpPr txBox="1"/>
        </xdr:nvSpPr>
        <xdr:spPr>
          <a:xfrm>
            <a:off x="2659380" y="2004060"/>
            <a:ext cx="1424940" cy="38100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IN" sz="1800" b="1"/>
              <a:t>Online Sales</a:t>
            </a:r>
          </a:p>
        </xdr:txBody>
      </xdr:sp>
    </xdr:grpSp>
    <xdr:clientData/>
  </xdr:twoCellAnchor>
  <xdr:twoCellAnchor editAs="oneCell">
    <xdr:from>
      <xdr:col>16</xdr:col>
      <xdr:colOff>541020</xdr:colOff>
      <xdr:row>10</xdr:row>
      <xdr:rowOff>106680</xdr:rowOff>
    </xdr:from>
    <xdr:to>
      <xdr:col>18</xdr:col>
      <xdr:colOff>365764</xdr:colOff>
      <xdr:row>16</xdr:row>
      <xdr:rowOff>53344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D367BB40-DA55-1875-BBE0-10821C1DE7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94620" y="1935480"/>
          <a:ext cx="1043944" cy="1043944"/>
        </a:xfrm>
        <a:prstGeom prst="rect">
          <a:avLst/>
        </a:prstGeom>
      </xdr:spPr>
    </xdr:pic>
    <xdr:clientData/>
  </xdr:twoCellAnchor>
  <xdr:twoCellAnchor editAs="oneCell">
    <xdr:from>
      <xdr:col>11</xdr:col>
      <xdr:colOff>525781</xdr:colOff>
      <xdr:row>10</xdr:row>
      <xdr:rowOff>114301</xdr:rowOff>
    </xdr:from>
    <xdr:to>
      <xdr:col>13</xdr:col>
      <xdr:colOff>411480</xdr:colOff>
      <xdr:row>16</xdr:row>
      <xdr:rowOff>121920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8C29EFC0-B8B1-8CC0-2C67-50499080DA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1381" y="1943101"/>
          <a:ext cx="1104899" cy="1104899"/>
        </a:xfrm>
        <a:prstGeom prst="rect">
          <a:avLst/>
        </a:prstGeom>
      </xdr:spPr>
    </xdr:pic>
    <xdr:clientData/>
  </xdr:twoCellAnchor>
  <xdr:twoCellAnchor editAs="oneCell">
    <xdr:from>
      <xdr:col>7</xdr:col>
      <xdr:colOff>22861</xdr:colOff>
      <xdr:row>11</xdr:row>
      <xdr:rowOff>38101</xdr:rowOff>
    </xdr:from>
    <xdr:to>
      <xdr:col>8</xdr:col>
      <xdr:colOff>426721</xdr:colOff>
      <xdr:row>16</xdr:row>
      <xdr:rowOff>137161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D1599410-C43B-8914-D91A-CB1A4263DB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90061" y="2049781"/>
          <a:ext cx="1013460" cy="1013460"/>
        </a:xfrm>
        <a:prstGeom prst="rect">
          <a:avLst/>
        </a:prstGeom>
      </xdr:spPr>
    </xdr:pic>
    <xdr:clientData/>
  </xdr:twoCellAnchor>
  <xdr:twoCellAnchor>
    <xdr:from>
      <xdr:col>4</xdr:col>
      <xdr:colOff>48490</xdr:colOff>
      <xdr:row>14</xdr:row>
      <xdr:rowOff>62345</xdr:rowOff>
    </xdr:from>
    <xdr:to>
      <xdr:col>6</xdr:col>
      <xdr:colOff>48490</xdr:colOff>
      <xdr:row>16</xdr:row>
      <xdr:rowOff>159327</xdr:rowOff>
    </xdr:to>
    <xdr:sp macro="" textlink="Restaurant!N3">
      <xdr:nvSpPr>
        <xdr:cNvPr id="32" name="TextBox 31">
          <a:extLst>
            <a:ext uri="{FF2B5EF4-FFF2-40B4-BE49-F238E27FC236}">
              <a16:creationId xmlns:a16="http://schemas.microsoft.com/office/drawing/2014/main" id="{115E1BDD-1E39-2ACD-10EC-70FE3AF4EC2A}"/>
            </a:ext>
          </a:extLst>
        </xdr:cNvPr>
        <xdr:cNvSpPr txBox="1"/>
      </xdr:nvSpPr>
      <xdr:spPr>
        <a:xfrm>
          <a:off x="2486890" y="2583872"/>
          <a:ext cx="1219200" cy="4572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593478F-E005-4151-995C-65DBB2F2E3FC}" type="TxLink">
            <a:rPr lang="en-US" sz="24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algn="ctr"/>
            <a:t>87067</a:t>
          </a:fld>
          <a:endParaRPr lang="en-IN" sz="2400" b="1">
            <a:solidFill>
              <a:schemeClr val="accent1"/>
            </a:solidFill>
          </a:endParaRPr>
        </a:p>
      </xdr:txBody>
    </xdr:sp>
    <xdr:clientData/>
  </xdr:twoCellAnchor>
  <xdr:twoCellAnchor>
    <xdr:from>
      <xdr:col>9</xdr:col>
      <xdr:colOff>48491</xdr:colOff>
      <xdr:row>14</xdr:row>
      <xdr:rowOff>83128</xdr:rowOff>
    </xdr:from>
    <xdr:to>
      <xdr:col>11</xdr:col>
      <xdr:colOff>55418</xdr:colOff>
      <xdr:row>16</xdr:row>
      <xdr:rowOff>131619</xdr:rowOff>
    </xdr:to>
    <xdr:sp macro="" textlink="Restaurant!N4">
      <xdr:nvSpPr>
        <xdr:cNvPr id="33" name="TextBox 32">
          <a:extLst>
            <a:ext uri="{FF2B5EF4-FFF2-40B4-BE49-F238E27FC236}">
              <a16:creationId xmlns:a16="http://schemas.microsoft.com/office/drawing/2014/main" id="{13A808C6-C6D2-6446-1F67-11BB47F912DC}"/>
            </a:ext>
          </a:extLst>
        </xdr:cNvPr>
        <xdr:cNvSpPr txBox="1"/>
      </xdr:nvSpPr>
      <xdr:spPr>
        <a:xfrm>
          <a:off x="5534891" y="2604655"/>
          <a:ext cx="1226127" cy="4087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82FCF36-3A3D-409B-B062-11BE3F009EFB}" type="TxLink">
            <a:rPr lang="en-US" sz="24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algn="ctr"/>
            <a:t>2902</a:t>
          </a:fld>
          <a:endParaRPr lang="en-IN" sz="24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14</xdr:col>
      <xdr:colOff>41564</xdr:colOff>
      <xdr:row>14</xdr:row>
      <xdr:rowOff>124691</xdr:rowOff>
    </xdr:from>
    <xdr:to>
      <xdr:col>15</xdr:col>
      <xdr:colOff>588818</xdr:colOff>
      <xdr:row>16</xdr:row>
      <xdr:rowOff>131618</xdr:rowOff>
    </xdr:to>
    <xdr:sp macro="" textlink="Restaurant!N11">
      <xdr:nvSpPr>
        <xdr:cNvPr id="34" name="TextBox 33">
          <a:extLst>
            <a:ext uri="{FF2B5EF4-FFF2-40B4-BE49-F238E27FC236}">
              <a16:creationId xmlns:a16="http://schemas.microsoft.com/office/drawing/2014/main" id="{78AF3925-369C-D108-95AB-4643997C5695}"/>
            </a:ext>
          </a:extLst>
        </xdr:cNvPr>
        <xdr:cNvSpPr txBox="1"/>
      </xdr:nvSpPr>
      <xdr:spPr>
        <a:xfrm>
          <a:off x="8575964" y="2646218"/>
          <a:ext cx="1156854" cy="3671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4543429-70ED-4DC0-8C97-3492E0EAE94D}" type="TxLink">
            <a:rPr lang="en-US" sz="24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algn="ctr"/>
            <a:t>28369</a:t>
          </a:fld>
          <a:endParaRPr lang="en-IN" sz="24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18</xdr:col>
      <xdr:colOff>554182</xdr:colOff>
      <xdr:row>14</xdr:row>
      <xdr:rowOff>83128</xdr:rowOff>
    </xdr:from>
    <xdr:to>
      <xdr:col>20</xdr:col>
      <xdr:colOff>581891</xdr:colOff>
      <xdr:row>16</xdr:row>
      <xdr:rowOff>110837</xdr:rowOff>
    </xdr:to>
    <xdr:sp macro="" textlink="Restaurant!N12">
      <xdr:nvSpPr>
        <xdr:cNvPr id="35" name="TextBox 34">
          <a:extLst>
            <a:ext uri="{FF2B5EF4-FFF2-40B4-BE49-F238E27FC236}">
              <a16:creationId xmlns:a16="http://schemas.microsoft.com/office/drawing/2014/main" id="{726F70C2-31A6-B2DA-1222-D6BF09091213}"/>
            </a:ext>
          </a:extLst>
        </xdr:cNvPr>
        <xdr:cNvSpPr txBox="1"/>
      </xdr:nvSpPr>
      <xdr:spPr>
        <a:xfrm>
          <a:off x="11526982" y="2604655"/>
          <a:ext cx="1246909" cy="3879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B166DDCF-2F1A-4878-8BB4-CB293E7B60DD}" type="TxLink">
            <a:rPr lang="en-US" sz="2400" b="1" i="0" u="none" strike="noStrike">
              <a:solidFill>
                <a:schemeClr val="accent1"/>
              </a:solidFill>
              <a:latin typeface="Calibri"/>
              <a:ea typeface="Calibri"/>
              <a:cs typeface="Calibri"/>
            </a:rPr>
            <a:pPr algn="ctr"/>
            <a:t>58699</a:t>
          </a:fld>
          <a:endParaRPr lang="en-IN" sz="2400" b="1">
            <a:solidFill>
              <a:schemeClr val="accent1"/>
            </a:solidFill>
          </a:endParaRPr>
        </a:p>
      </xdr:txBody>
    </xdr:sp>
    <xdr:clientData/>
  </xdr:twoCellAnchor>
  <xdr:twoCellAnchor>
    <xdr:from>
      <xdr:col>1</xdr:col>
      <xdr:colOff>492726</xdr:colOff>
      <xdr:row>20</xdr:row>
      <xdr:rowOff>27214</xdr:rowOff>
    </xdr:from>
    <xdr:to>
      <xdr:col>7</xdr:col>
      <xdr:colOff>562429</xdr:colOff>
      <xdr:row>40</xdr:row>
      <xdr:rowOff>90714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3DFE9370-4D3B-4B24-B8B1-6202A7C80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171268</xdr:colOff>
      <xdr:row>20</xdr:row>
      <xdr:rowOff>33877</xdr:rowOff>
    </xdr:from>
    <xdr:to>
      <xdr:col>14</xdr:col>
      <xdr:colOff>498929</xdr:colOff>
      <xdr:row>40</xdr:row>
      <xdr:rowOff>81642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D24AA61B-7CF4-4AA4-B9AC-58C9FCE0BD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15</xdr:col>
      <xdr:colOff>99785</xdr:colOff>
      <xdr:row>20</xdr:row>
      <xdr:rowOff>33878</xdr:rowOff>
    </xdr:from>
    <xdr:to>
      <xdr:col>21</xdr:col>
      <xdr:colOff>308429</xdr:colOff>
      <xdr:row>40</xdr:row>
      <xdr:rowOff>63500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EC95516A-E148-48CF-90E2-16A4A73939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yeona kumar" refreshedDate="46184.655202314818" createdVersion="8" refreshedVersion="8" minRefreshableVersion="3" recordCount="31" xr:uid="{05B1F7C6-458B-4AF9-A22D-2D51084F012F}">
  <cacheSource type="worksheet">
    <worksheetSource ref="A1:K1048576" sheet="Restaurant"/>
  </cacheSource>
  <cacheFields count="11">
    <cacheField name="Order ID" numFmtId="1">
      <sharedItems containsString="0" containsBlank="1" containsNumber="1" containsInteger="1" minValue="10452" maxValue="10482"/>
    </cacheField>
    <cacheField name="Date" numFmtId="14">
      <sharedItems containsNonDate="0" containsDate="1" containsString="0" containsBlank="1" minDate="2022-11-07T00:00:00" maxDate="2022-11-14T00:00:00" count="8">
        <d v="2022-11-07T00:00:00"/>
        <d v="2022-11-08T00:00:00"/>
        <d v="2022-11-09T00:00:00"/>
        <d v="2022-11-10T00:00:00"/>
        <d v="2022-11-11T00:00:00"/>
        <d v="2022-11-12T00:00:00"/>
        <d v="2022-11-13T00:00:00"/>
        <m/>
      </sharedItems>
    </cacheField>
    <cacheField name="Product" numFmtId="49">
      <sharedItems containsBlank="1" count="5">
        <s v="Fries"/>
        <s v="Sides &amp; Other"/>
        <s v="Burgers"/>
        <s v="Chicken Sandwiches"/>
        <m/>
      </sharedItems>
    </cacheField>
    <cacheField name="Quantity" numFmtId="2">
      <sharedItems containsString="0" containsBlank="1" containsNumber="1" minValue="200.4" maxValue="745.76"/>
    </cacheField>
    <cacheField name="Purchase Type" numFmtId="49">
      <sharedItems containsBlank="1"/>
    </cacheField>
    <cacheField name="Payment Method" numFmtId="49">
      <sharedItems containsBlank="1"/>
    </cacheField>
    <cacheField name="Manager" numFmtId="0">
      <sharedItems containsBlank="1"/>
    </cacheField>
    <cacheField name="Manager Name" numFmtId="0">
      <sharedItems containsBlank="1"/>
    </cacheField>
    <cacheField name="City" numFmtId="49">
      <sharedItems containsBlank="1" count="5">
        <s v="London"/>
        <s v="Madrid"/>
        <s v="Paris"/>
        <s v="Lisbon"/>
        <m/>
      </sharedItems>
    </cacheField>
    <cacheField name="Price" numFmtId="2">
      <sharedItems containsString="0" containsBlank="1" containsNumber="1" minValue="3.49" maxValue="12.99"/>
    </cacheField>
    <cacheField name="Total Price" numFmtId="0">
      <sharedItems containsString="0" containsBlank="1" containsNumber="1" minValue="999.99600000000009" maxValue="7400.013299999999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n v="10452"/>
    <x v="0"/>
    <x v="0"/>
    <n v="573.07000000000005"/>
    <s v="Online "/>
    <s v="Gift Card"/>
    <s v="Tom Jackson"/>
    <s v="Tom Jackson"/>
    <x v="0"/>
    <n v="3.49"/>
    <n v="2000.0143000000003"/>
  </r>
  <r>
    <n v="10453"/>
    <x v="0"/>
    <x v="0"/>
    <n v="745.76"/>
    <s v="Online "/>
    <s v="Gift Card"/>
    <s v="       Pablo Perez"/>
    <s v="Pablo Perez"/>
    <x v="1"/>
    <n v="3.49"/>
    <n v="2602.7024000000001"/>
  </r>
  <r>
    <n v="10454"/>
    <x v="0"/>
    <x v="1"/>
    <n v="200.4"/>
    <s v="In-store "/>
    <s v="Gift Card"/>
    <s v="Joao    Silva"/>
    <s v="Joao Silva"/>
    <x v="0"/>
    <n v="4.99"/>
    <n v="999.99600000000009"/>
  </r>
  <r>
    <n v="10455"/>
    <x v="1"/>
    <x v="2"/>
    <n v="569.66999999999996"/>
    <s v="In-store "/>
    <s v="Cash"/>
    <s v="Walter Muller"/>
    <s v="Walter Muller"/>
    <x v="0"/>
    <n v="12.99"/>
    <n v="7400.0132999999996"/>
  </r>
  <r>
    <n v="10456"/>
    <x v="1"/>
    <x v="3"/>
    <n v="201.01"/>
    <s v="In-store "/>
    <s v="Credit Card"/>
    <s v="Walter Muller"/>
    <s v="Walter Muller"/>
    <x v="0"/>
    <n v="9.9499999999999993"/>
    <n v="2000.0494999999999"/>
  </r>
  <r>
    <n v="10457"/>
    <x v="1"/>
    <x v="0"/>
    <n v="573.07000000000005"/>
    <s v="In-store "/>
    <s v="Credit Card"/>
    <s v="Remy    Monet"/>
    <s v="Remy Monet"/>
    <x v="2"/>
    <n v="3.49"/>
    <n v="2000.0143000000003"/>
  </r>
  <r>
    <n v="10459"/>
    <x v="1"/>
    <x v="1"/>
    <n v="200.4"/>
    <s v="In-store "/>
    <s v="Credit Card"/>
    <s v="Walter Muller"/>
    <s v="Walter Muller"/>
    <x v="0"/>
    <n v="4.99"/>
    <n v="999.99600000000009"/>
  </r>
  <r>
    <n v="10460"/>
    <x v="2"/>
    <x v="2"/>
    <n v="554.27"/>
    <s v="In-store "/>
    <s v="Cash"/>
    <s v="Remy Monet"/>
    <s v="Remy Monet"/>
    <x v="2"/>
    <n v="12.99"/>
    <n v="7199.9673000000003"/>
  </r>
  <r>
    <n v="10461"/>
    <x v="2"/>
    <x v="3"/>
    <n v="201.01"/>
    <s v="In-store "/>
    <s v="Credit Card"/>
    <s v="Remy Monet"/>
    <s v="Remy Monet"/>
    <x v="2"/>
    <n v="9.9499999999999993"/>
    <n v="2000.0494999999999"/>
  </r>
  <r>
    <n v="10462"/>
    <x v="2"/>
    <x v="0"/>
    <n v="573.07000000000005"/>
    <s v="Online "/>
    <s v="Credit Card"/>
    <s v="       Remy Monet"/>
    <s v="Remy Monet"/>
    <x v="2"/>
    <n v="3.49"/>
    <n v="2000.0143000000003"/>
  </r>
  <r>
    <n v="10463"/>
    <x v="2"/>
    <x v="0"/>
    <n v="677.97"/>
    <s v="In-store "/>
    <s v="Credit Card"/>
    <s v="       Remy Monet"/>
    <s v="Remy Monet"/>
    <x v="2"/>
    <n v="3.49"/>
    <n v="2366.1153000000004"/>
  </r>
  <r>
    <n v="10464"/>
    <x v="2"/>
    <x v="1"/>
    <n v="200.4"/>
    <s v="In-store "/>
    <s v="Cash"/>
    <s v="Remy Monet"/>
    <s v="Remy Monet"/>
    <x v="2"/>
    <n v="4.99"/>
    <n v="999.99600000000009"/>
  </r>
  <r>
    <n v="10465"/>
    <x v="3"/>
    <x v="2"/>
    <n v="554.27"/>
    <s v="Online "/>
    <s v="Credit Card"/>
    <s v="Pablo Perez"/>
    <s v="Pablo Perez"/>
    <x v="1"/>
    <n v="12.99"/>
    <n v="7199.9673000000003"/>
  </r>
  <r>
    <n v="10466"/>
    <x v="3"/>
    <x v="3"/>
    <n v="201.01"/>
    <s v="In-store "/>
    <s v="Credit Card"/>
    <s v="Pablo Perez"/>
    <s v="Pablo Perez"/>
    <x v="1"/>
    <n v="9.9499999999999993"/>
    <n v="2000.0494999999999"/>
  </r>
  <r>
    <n v="10467"/>
    <x v="3"/>
    <x v="0"/>
    <n v="573.07000000000005"/>
    <s v="Online "/>
    <s v="Cash"/>
    <s v="Pablo Perez"/>
    <s v="Pablo Perez"/>
    <x v="0"/>
    <n v="3.49"/>
    <n v="2000.0143000000003"/>
  </r>
  <r>
    <n v="10468"/>
    <x v="3"/>
    <x v="0"/>
    <n v="677.97"/>
    <s v="In-store "/>
    <s v="Credit Card"/>
    <s v="       Pablo Perez"/>
    <s v="Pablo Perez"/>
    <x v="0"/>
    <n v="3.49"/>
    <n v="2366.1153000000004"/>
  </r>
  <r>
    <n v="10470"/>
    <x v="4"/>
    <x v="2"/>
    <n v="554.27"/>
    <s v="Online "/>
    <s v="Gift Card"/>
    <s v="       Pablo Perez"/>
    <s v="Pablo Perez"/>
    <x v="1"/>
    <n v="12.99"/>
    <n v="7199.9673000000003"/>
  </r>
  <r>
    <n v="10471"/>
    <x v="4"/>
    <x v="3"/>
    <n v="201.01"/>
    <s v="In-store "/>
    <s v="Credit Card"/>
    <s v="       Pablo Perez"/>
    <s v="Pablo Perez"/>
    <x v="1"/>
    <n v="9.9499999999999993"/>
    <n v="2000.0494999999999"/>
  </r>
  <r>
    <n v="10472"/>
    <x v="4"/>
    <x v="0"/>
    <n v="630.37"/>
    <s v="In-store "/>
    <s v="Credit Card"/>
    <s v="Pablo   Perez"/>
    <s v="Pablo Perez"/>
    <x v="0"/>
    <n v="3.49"/>
    <n v="2199.9913000000001"/>
  </r>
  <r>
    <n v="10473"/>
    <x v="4"/>
    <x v="0"/>
    <n v="677.97"/>
    <s v="In-store "/>
    <s v="Cash"/>
    <s v="       Pablo Perez"/>
    <s v="Pablo Perez"/>
    <x v="1"/>
    <n v="3.49"/>
    <n v="2366.1153000000004"/>
  </r>
  <r>
    <n v="10474"/>
    <x v="4"/>
    <x v="1"/>
    <n v="200.4"/>
    <s v="Online "/>
    <s v="Credit Card"/>
    <s v="       Pablo Perez"/>
    <s v="Pablo Perez"/>
    <x v="0"/>
    <n v="4.99"/>
    <n v="999.99600000000009"/>
  </r>
  <r>
    <n v="10475"/>
    <x v="5"/>
    <x v="2"/>
    <n v="523.48"/>
    <s v="In-store "/>
    <s v="Gift Card"/>
    <s v="       Pablo Perez"/>
    <s v="Pablo Perez"/>
    <x v="1"/>
    <n v="12.99"/>
    <n v="6800.0052000000005"/>
  </r>
  <r>
    <n v="10476"/>
    <x v="5"/>
    <x v="3"/>
    <n v="201.01"/>
    <s v="In-store "/>
    <s v="Credit Card"/>
    <s v="Pablo Perez"/>
    <s v="Pablo Perez"/>
    <x v="0"/>
    <n v="9.9499999999999993"/>
    <n v="2000.0494999999999"/>
  </r>
  <r>
    <n v="10477"/>
    <x v="5"/>
    <x v="0"/>
    <n v="630.37"/>
    <s v="In-store "/>
    <s v="Gift Card"/>
    <s v="Pablo  Perez"/>
    <s v="Pablo Perez"/>
    <x v="0"/>
    <n v="3.49"/>
    <n v="2199.9913000000001"/>
  </r>
  <r>
    <n v="10478"/>
    <x v="5"/>
    <x v="0"/>
    <n v="677.97"/>
    <s v="Online "/>
    <s v="Cash"/>
    <s v="Pablo Perez"/>
    <s v="Pablo Perez"/>
    <x v="1"/>
    <n v="3.49"/>
    <n v="2366.1153000000004"/>
  </r>
  <r>
    <n v="10479"/>
    <x v="5"/>
    <x v="1"/>
    <n v="200.4"/>
    <s v="In-store "/>
    <s v="Credit Card"/>
    <s v="Pablo    Perez"/>
    <s v="Pablo Perez"/>
    <x v="1"/>
    <n v="4.99"/>
    <n v="999.99600000000009"/>
  </r>
  <r>
    <n v="10480"/>
    <x v="6"/>
    <x v="2"/>
    <n v="508.08"/>
    <s v="In-store "/>
    <s v="Credit Card"/>
    <s v="Pablo Perez"/>
    <s v="Pablo Perez"/>
    <x v="3"/>
    <n v="12.99"/>
    <n v="6599.9592000000002"/>
  </r>
  <r>
    <n v="10481"/>
    <x v="6"/>
    <x v="3"/>
    <n v="201.01"/>
    <s v="Online "/>
    <s v="Cash"/>
    <s v="Pablo Perez"/>
    <s v="Pablo Perez"/>
    <x v="1"/>
    <n v="9.9499999999999993"/>
    <n v="2000.0494999999999"/>
  </r>
  <r>
    <n v="10482"/>
    <x v="6"/>
    <x v="0"/>
    <n v="630.37"/>
    <s v="In-store "/>
    <s v="Credit Card"/>
    <s v="Joao Silva"/>
    <s v="Joao Silva"/>
    <x v="0"/>
    <n v="3.49"/>
    <n v="2199.9913000000001"/>
  </r>
  <r>
    <n v="10459"/>
    <x v="1"/>
    <x v="1"/>
    <n v="200.4"/>
    <s v="In-store "/>
    <s v="Gift Card"/>
    <s v="Walter Muller"/>
    <s v="Walter Muller"/>
    <x v="0"/>
    <n v="4.99"/>
    <n v="999.99600000000009"/>
  </r>
  <r>
    <m/>
    <x v="7"/>
    <x v="4"/>
    <m/>
    <m/>
    <m/>
    <m/>
    <m/>
    <x v="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70144C-004C-44E1-86EF-471254F5B47C}" name="PivotTable4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8">
  <location ref="A3:B8" firstHeaderRow="1" firstDataRow="1" firstDataCol="1"/>
  <pivotFields count="11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3"/>
        <item x="0"/>
        <item x="1"/>
        <item x="2"/>
        <item h="1" x="4"/>
        <item t="default"/>
      </items>
    </pivotField>
    <pivotField showAll="0"/>
    <pivotField dataField="1" showAll="0"/>
  </pivotFields>
  <rowFields count="1">
    <field x="8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Total Price" fld="10" baseField="0" baseItem="0"/>
  </dataFields>
  <chartFormats count="5"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7" format="3">
      <pivotArea type="data" outline="0" fieldPosition="0">
        <references count="2">
          <reference field="4294967294" count="1" selected="0">
            <x v="0"/>
          </reference>
          <reference field="8" count="1" selected="0">
            <x v="2"/>
          </reference>
        </references>
      </pivotArea>
    </chartFormat>
    <chartFormat chart="17" format="4">
      <pivotArea type="data" outline="0" fieldPosition="0">
        <references count="2">
          <reference field="4294967294" count="1" selected="0">
            <x v="0"/>
          </reference>
          <reference field="8" count="1" selected="0">
            <x v="3"/>
          </reference>
        </references>
      </pivotArea>
    </chartFormat>
    <chartFormat chart="17" format="5">
      <pivotArea type="data" outline="0" fieldPosition="0">
        <references count="2">
          <reference field="4294967294" count="1" selected="0">
            <x v="0"/>
          </reference>
          <reference field="8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DC773B-8235-42C4-86B7-0733F1002BEF}" name="PivotTable5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>
  <location ref="A3:B9" firstHeaderRow="1" firstDataRow="1" firstDataCol="1"/>
  <pivotFields count="11">
    <pivotField showAll="0"/>
    <pivotField showAll="0"/>
    <pivotField axis="axisRow" showAll="0">
      <items count="6">
        <item x="2"/>
        <item x="3"/>
        <item x="0"/>
        <item x="1"/>
        <item x="4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Quantity" fld="3" baseField="0" baseItem="0"/>
  </dataFields>
  <chartFormats count="7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9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0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B03D9D-319A-4830-8DFA-B9F7E5EA0062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>
  <location ref="A3:B12" firstHeaderRow="1" firstDataRow="1" firstDataCol="1"/>
  <pivotFields count="11">
    <pivotField showAll="0"/>
    <pivotField axis="axisRow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Items count="1">
    <i/>
  </colItems>
  <dataFields count="1">
    <dataField name="Sum of Total Price" fld="10" baseField="0" baseItem="0"/>
  </dataFields>
  <chartFormats count="3"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FED37-E279-4ABA-8AE9-2E58597BBF64}">
  <dimension ref="A3:B8"/>
  <sheetViews>
    <sheetView workbookViewId="0">
      <selection activeCell="P20" sqref="P20"/>
    </sheetView>
  </sheetViews>
  <sheetFormatPr defaultRowHeight="14.4" x14ac:dyDescent="0.3"/>
  <cols>
    <col min="1" max="1" width="12.5546875" bestFit="1" customWidth="1"/>
    <col min="2" max="2" width="16.33203125" bestFit="1" customWidth="1"/>
  </cols>
  <sheetData>
    <row r="3" spans="1:2" x14ac:dyDescent="0.3">
      <c r="A3" s="5" t="s">
        <v>49</v>
      </c>
      <c r="B3" t="s">
        <v>52</v>
      </c>
    </row>
    <row r="4" spans="1:2" x14ac:dyDescent="0.3">
      <c r="A4" s="6" t="s">
        <v>18</v>
      </c>
      <c r="B4">
        <v>6599.9592000000002</v>
      </c>
    </row>
    <row r="5" spans="1:2" x14ac:dyDescent="0.3">
      <c r="A5" s="6" t="s">
        <v>12</v>
      </c>
      <c r="B5">
        <v>28366.214100000005</v>
      </c>
    </row>
    <row r="6" spans="1:2" x14ac:dyDescent="0.3">
      <c r="A6" s="6" t="s">
        <v>14</v>
      </c>
      <c r="B6">
        <v>35535.017300000007</v>
      </c>
    </row>
    <row r="7" spans="1:2" x14ac:dyDescent="0.3">
      <c r="A7" s="6" t="s">
        <v>23</v>
      </c>
      <c r="B7">
        <v>16566.1567</v>
      </c>
    </row>
    <row r="8" spans="1:2" x14ac:dyDescent="0.3">
      <c r="A8" s="6" t="s">
        <v>51</v>
      </c>
      <c r="B8">
        <v>87067.347299999994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6317F-46FE-4D0B-B291-A1ACC1C08DC9}">
  <dimension ref="A3:B9"/>
  <sheetViews>
    <sheetView workbookViewId="0">
      <selection activeCell="M16" sqref="M16"/>
    </sheetView>
  </sheetViews>
  <sheetFormatPr defaultRowHeight="14.4" x14ac:dyDescent="0.3"/>
  <cols>
    <col min="1" max="1" width="17.44140625" bestFit="1" customWidth="1"/>
    <col min="2" max="2" width="14.88671875" bestFit="1" customWidth="1"/>
  </cols>
  <sheetData>
    <row r="3" spans="1:2" x14ac:dyDescent="0.3">
      <c r="A3" s="5" t="s">
        <v>49</v>
      </c>
      <c r="B3" t="s">
        <v>53</v>
      </c>
    </row>
    <row r="4" spans="1:2" x14ac:dyDescent="0.3">
      <c r="A4" s="6" t="s">
        <v>19</v>
      </c>
      <c r="B4">
        <v>3264.04</v>
      </c>
    </row>
    <row r="5" spans="1:2" x14ac:dyDescent="0.3">
      <c r="A5" s="6" t="s">
        <v>21</v>
      </c>
      <c r="B5">
        <v>1206.06</v>
      </c>
    </row>
    <row r="6" spans="1:2" x14ac:dyDescent="0.3">
      <c r="A6" s="6" t="s">
        <v>9</v>
      </c>
      <c r="B6">
        <v>7641.0300000000007</v>
      </c>
    </row>
    <row r="7" spans="1:2" x14ac:dyDescent="0.3">
      <c r="A7" s="6" t="s">
        <v>15</v>
      </c>
      <c r="B7">
        <v>1202.4000000000001</v>
      </c>
    </row>
    <row r="8" spans="1:2" x14ac:dyDescent="0.3">
      <c r="A8" s="6" t="s">
        <v>50</v>
      </c>
    </row>
    <row r="9" spans="1:2" x14ac:dyDescent="0.3">
      <c r="A9" s="6" t="s">
        <v>51</v>
      </c>
      <c r="B9">
        <v>13313.53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78226-07A1-4669-8184-A33CC5E39B5C}">
  <dimension ref="A3:B12"/>
  <sheetViews>
    <sheetView workbookViewId="0">
      <selection activeCell="O12" sqref="O12"/>
    </sheetView>
  </sheetViews>
  <sheetFormatPr defaultRowHeight="14.4" x14ac:dyDescent="0.3"/>
  <cols>
    <col min="1" max="1" width="12.5546875" bestFit="1" customWidth="1"/>
    <col min="2" max="2" width="16.33203125" bestFit="1" customWidth="1"/>
  </cols>
  <sheetData>
    <row r="3" spans="1:2" x14ac:dyDescent="0.3">
      <c r="A3" s="5" t="s">
        <v>49</v>
      </c>
      <c r="B3" t="s">
        <v>52</v>
      </c>
    </row>
    <row r="4" spans="1:2" x14ac:dyDescent="0.3">
      <c r="A4" s="7">
        <v>44872</v>
      </c>
      <c r="B4">
        <v>5602.712700000001</v>
      </c>
    </row>
    <row r="5" spans="1:2" x14ac:dyDescent="0.3">
      <c r="A5" s="7">
        <v>44873</v>
      </c>
      <c r="B5">
        <v>13400.069100000001</v>
      </c>
    </row>
    <row r="6" spans="1:2" x14ac:dyDescent="0.3">
      <c r="A6" s="7">
        <v>44874</v>
      </c>
      <c r="B6">
        <v>14566.142400000001</v>
      </c>
    </row>
    <row r="7" spans="1:2" x14ac:dyDescent="0.3">
      <c r="A7" s="7">
        <v>44875</v>
      </c>
      <c r="B7">
        <v>13566.146400000001</v>
      </c>
    </row>
    <row r="8" spans="1:2" x14ac:dyDescent="0.3">
      <c r="A8" s="7">
        <v>44876</v>
      </c>
      <c r="B8">
        <v>14766.1194</v>
      </c>
    </row>
    <row r="9" spans="1:2" x14ac:dyDescent="0.3">
      <c r="A9" s="7">
        <v>44877</v>
      </c>
      <c r="B9">
        <v>14366.157299999999</v>
      </c>
    </row>
    <row r="10" spans="1:2" x14ac:dyDescent="0.3">
      <c r="A10" s="7">
        <v>44878</v>
      </c>
      <c r="B10">
        <v>10800</v>
      </c>
    </row>
    <row r="11" spans="1:2" x14ac:dyDescent="0.3">
      <c r="A11" s="6" t="s">
        <v>50</v>
      </c>
    </row>
    <row r="12" spans="1:2" x14ac:dyDescent="0.3">
      <c r="A12" s="6" t="s">
        <v>51</v>
      </c>
      <c r="B12">
        <v>87067.347299999994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31"/>
  <sheetViews>
    <sheetView zoomScale="120" zoomScaleNormal="120" workbookViewId="0">
      <selection sqref="A1:XFD1048576"/>
    </sheetView>
  </sheetViews>
  <sheetFormatPr defaultRowHeight="14.4" x14ac:dyDescent="0.3"/>
  <cols>
    <col min="1" max="1" width="8.88671875" style="3"/>
    <col min="2" max="2" width="11.21875" style="1" bestFit="1" customWidth="1"/>
    <col min="3" max="3" width="17.44140625" style="4" bestFit="1" customWidth="1"/>
    <col min="4" max="4" width="8.88671875" style="2"/>
    <col min="5" max="5" width="12.6640625" style="4" bestFit="1" customWidth="1"/>
    <col min="6" max="6" width="15.109375" style="4" bestFit="1" customWidth="1"/>
    <col min="7" max="7" width="14.6640625" bestFit="1" customWidth="1"/>
    <col min="8" max="8" width="14.6640625" customWidth="1"/>
    <col min="9" max="9" width="7.109375" style="4" bestFit="1" customWidth="1"/>
    <col min="10" max="10" width="8.88671875" style="2"/>
    <col min="13" max="13" width="19.88671875" bestFit="1" customWidth="1"/>
    <col min="14" max="14" width="10.5546875" bestFit="1" customWidth="1"/>
  </cols>
  <sheetData>
    <row r="1" spans="1:14" x14ac:dyDescent="0.3">
      <c r="A1" s="3" t="s">
        <v>0</v>
      </c>
      <c r="B1" s="1" t="s">
        <v>1</v>
      </c>
      <c r="C1" s="4" t="s">
        <v>2</v>
      </c>
      <c r="D1" s="2" t="s">
        <v>4</v>
      </c>
      <c r="E1" s="4" t="s">
        <v>5</v>
      </c>
      <c r="F1" s="4" t="s">
        <v>6</v>
      </c>
      <c r="G1" t="s">
        <v>7</v>
      </c>
      <c r="H1" t="s">
        <v>32</v>
      </c>
      <c r="I1" s="4" t="s">
        <v>8</v>
      </c>
      <c r="J1" s="2" t="s">
        <v>3</v>
      </c>
      <c r="K1" t="s">
        <v>33</v>
      </c>
    </row>
    <row r="2" spans="1:14" x14ac:dyDescent="0.3">
      <c r="A2" s="3">
        <v>10452</v>
      </c>
      <c r="B2" s="1">
        <v>44872</v>
      </c>
      <c r="C2" s="4" t="s">
        <v>9</v>
      </c>
      <c r="D2" s="2">
        <v>573.07000000000005</v>
      </c>
      <c r="E2" s="4" t="s">
        <v>10</v>
      </c>
      <c r="F2" s="4" t="s">
        <v>47</v>
      </c>
      <c r="G2" t="s">
        <v>11</v>
      </c>
      <c r="H2" t="str">
        <f>TRIM(G2)</f>
        <v>Tom Jackson</v>
      </c>
      <c r="I2" s="4" t="s">
        <v>12</v>
      </c>
      <c r="J2" s="2">
        <f>IF(C2="Fries",3.49,IF(C2="Sides &amp; Other",4.99,IF(C2="Burgers",12.99,9.95)))</f>
        <v>3.49</v>
      </c>
      <c r="K2">
        <f t="shared" ref="K2:K31" si="0">J2*D2</f>
        <v>2000.0143000000003</v>
      </c>
    </row>
    <row r="3" spans="1:14" x14ac:dyDescent="0.3">
      <c r="A3" s="3">
        <v>10453</v>
      </c>
      <c r="B3" s="1">
        <v>44872</v>
      </c>
      <c r="C3" s="4" t="s">
        <v>9</v>
      </c>
      <c r="D3" s="2">
        <v>745.76</v>
      </c>
      <c r="E3" s="4" t="s">
        <v>10</v>
      </c>
      <c r="F3" s="4" t="s">
        <v>47</v>
      </c>
      <c r="G3" t="s">
        <v>13</v>
      </c>
      <c r="H3" t="str">
        <f t="shared" ref="H3:H31" si="1">TRIM(G3)</f>
        <v>Pablo Perez</v>
      </c>
      <c r="I3" s="4" t="s">
        <v>14</v>
      </c>
      <c r="J3" s="2">
        <f t="shared" ref="J3:J31" si="2">IF(C3="Fries",3.49,IF(C3="Sides &amp; Other",4.99,IF(C3="Burgers",12.99,9.95)))</f>
        <v>3.49</v>
      </c>
      <c r="K3">
        <f t="shared" si="0"/>
        <v>2602.7024000000001</v>
      </c>
      <c r="M3" t="s">
        <v>34</v>
      </c>
      <c r="N3" s="3">
        <f>SUM(K2:K31)</f>
        <v>87067.347299999979</v>
      </c>
    </row>
    <row r="4" spans="1:14" x14ac:dyDescent="0.3">
      <c r="A4" s="3">
        <v>10454</v>
      </c>
      <c r="B4" s="1">
        <v>44872</v>
      </c>
      <c r="C4" s="4" t="s">
        <v>15</v>
      </c>
      <c r="D4" s="2">
        <v>200.4</v>
      </c>
      <c r="E4" s="4" t="s">
        <v>16</v>
      </c>
      <c r="F4" s="4" t="s">
        <v>47</v>
      </c>
      <c r="G4" t="s">
        <v>17</v>
      </c>
      <c r="H4" t="str">
        <f t="shared" si="1"/>
        <v>Joao Silva</v>
      </c>
      <c r="I4" s="4" t="s">
        <v>12</v>
      </c>
      <c r="J4" s="2">
        <f t="shared" si="2"/>
        <v>4.99</v>
      </c>
      <c r="K4">
        <f t="shared" si="0"/>
        <v>999.99600000000009</v>
      </c>
      <c r="M4" t="s">
        <v>35</v>
      </c>
      <c r="N4" s="3">
        <f>AVERAGE(K2:K31)</f>
        <v>2902.2449099999994</v>
      </c>
    </row>
    <row r="5" spans="1:14" x14ac:dyDescent="0.3">
      <c r="A5" s="3">
        <v>10455</v>
      </c>
      <c r="B5" s="1">
        <v>44873</v>
      </c>
      <c r="C5" s="4" t="s">
        <v>19</v>
      </c>
      <c r="D5" s="2">
        <v>569.66999999999996</v>
      </c>
      <c r="E5" s="4" t="s">
        <v>16</v>
      </c>
      <c r="F5" s="4" t="s">
        <v>31</v>
      </c>
      <c r="G5" t="s">
        <v>20</v>
      </c>
      <c r="H5" t="str">
        <f t="shared" si="1"/>
        <v>Walter Muller</v>
      </c>
      <c r="I5" s="4" t="s">
        <v>12</v>
      </c>
      <c r="J5" s="2">
        <f t="shared" si="2"/>
        <v>12.99</v>
      </c>
      <c r="K5">
        <f t="shared" si="0"/>
        <v>7400.0132999999996</v>
      </c>
      <c r="M5" t="s">
        <v>36</v>
      </c>
      <c r="N5">
        <f>MIN(K2:K31)</f>
        <v>999.99600000000009</v>
      </c>
    </row>
    <row r="6" spans="1:14" x14ac:dyDescent="0.3">
      <c r="A6" s="3">
        <v>10456</v>
      </c>
      <c r="B6" s="1">
        <v>44873</v>
      </c>
      <c r="C6" s="4" t="s">
        <v>21</v>
      </c>
      <c r="D6" s="2">
        <v>201.01</v>
      </c>
      <c r="E6" s="4" t="s">
        <v>16</v>
      </c>
      <c r="F6" s="4" t="s">
        <v>48</v>
      </c>
      <c r="G6" t="s">
        <v>20</v>
      </c>
      <c r="H6" t="str">
        <f t="shared" si="1"/>
        <v>Walter Muller</v>
      </c>
      <c r="I6" s="4" t="s">
        <v>12</v>
      </c>
      <c r="J6" s="2">
        <f t="shared" si="2"/>
        <v>9.9499999999999993</v>
      </c>
      <c r="K6">
        <f t="shared" si="0"/>
        <v>2000.0494999999999</v>
      </c>
      <c r="M6" t="s">
        <v>37</v>
      </c>
      <c r="N6">
        <f>MAX(K2:K31)</f>
        <v>7400.0132999999996</v>
      </c>
    </row>
    <row r="7" spans="1:14" x14ac:dyDescent="0.3">
      <c r="A7" s="3">
        <v>10457</v>
      </c>
      <c r="B7" s="1">
        <v>44873</v>
      </c>
      <c r="C7" s="4" t="s">
        <v>9</v>
      </c>
      <c r="D7" s="2">
        <v>573.07000000000005</v>
      </c>
      <c r="E7" s="4" t="s">
        <v>16</v>
      </c>
      <c r="F7" s="4" t="s">
        <v>48</v>
      </c>
      <c r="G7" t="s">
        <v>22</v>
      </c>
      <c r="H7" t="str">
        <f t="shared" si="1"/>
        <v>Remy Monet</v>
      </c>
      <c r="I7" s="4" t="s">
        <v>23</v>
      </c>
      <c r="J7" s="2">
        <f t="shared" si="2"/>
        <v>3.49</v>
      </c>
      <c r="K7">
        <f t="shared" si="0"/>
        <v>2000.0143000000003</v>
      </c>
      <c r="M7" t="s">
        <v>38</v>
      </c>
      <c r="N7">
        <f>COUNT(K2:K31)</f>
        <v>30</v>
      </c>
    </row>
    <row r="8" spans="1:14" x14ac:dyDescent="0.3">
      <c r="A8" s="3">
        <v>10459</v>
      </c>
      <c r="B8" s="1">
        <v>44873</v>
      </c>
      <c r="C8" s="4" t="s">
        <v>15</v>
      </c>
      <c r="D8" s="2">
        <v>200.4</v>
      </c>
      <c r="E8" s="4" t="s">
        <v>16</v>
      </c>
      <c r="F8" s="4" t="s">
        <v>48</v>
      </c>
      <c r="G8" t="s">
        <v>20</v>
      </c>
      <c r="H8" t="str">
        <f t="shared" si="1"/>
        <v>Walter Muller</v>
      </c>
      <c r="I8" s="4" t="s">
        <v>12</v>
      </c>
      <c r="J8" s="2">
        <f t="shared" si="2"/>
        <v>4.99</v>
      </c>
      <c r="K8">
        <f t="shared" si="0"/>
        <v>999.99600000000009</v>
      </c>
      <c r="M8" t="s">
        <v>39</v>
      </c>
      <c r="N8">
        <f>COUNTA(I2:I31)</f>
        <v>30</v>
      </c>
    </row>
    <row r="9" spans="1:14" x14ac:dyDescent="0.3">
      <c r="A9" s="3">
        <v>10460</v>
      </c>
      <c r="B9" s="1">
        <v>44874</v>
      </c>
      <c r="C9" s="4" t="s">
        <v>19</v>
      </c>
      <c r="D9" s="2">
        <v>554.27</v>
      </c>
      <c r="E9" s="4" t="s">
        <v>16</v>
      </c>
      <c r="F9" s="4" t="s">
        <v>31</v>
      </c>
      <c r="G9" t="s">
        <v>24</v>
      </c>
      <c r="H9" t="str">
        <f t="shared" si="1"/>
        <v>Remy Monet</v>
      </c>
      <c r="I9" s="4" t="s">
        <v>23</v>
      </c>
      <c r="J9" s="2">
        <f t="shared" si="2"/>
        <v>12.99</v>
      </c>
      <c r="K9">
        <f t="shared" si="0"/>
        <v>7199.9673000000003</v>
      </c>
    </row>
    <row r="10" spans="1:14" x14ac:dyDescent="0.3">
      <c r="A10" s="3">
        <v>10461</v>
      </c>
      <c r="B10" s="1">
        <v>44874</v>
      </c>
      <c r="C10" s="4" t="s">
        <v>21</v>
      </c>
      <c r="D10" s="2">
        <v>201.01</v>
      </c>
      <c r="E10" s="4" t="s">
        <v>16</v>
      </c>
      <c r="F10" s="4" t="s">
        <v>48</v>
      </c>
      <c r="G10" t="s">
        <v>24</v>
      </c>
      <c r="H10" t="str">
        <f t="shared" si="1"/>
        <v>Remy Monet</v>
      </c>
      <c r="I10" s="4" t="s">
        <v>23</v>
      </c>
      <c r="J10" s="2">
        <f t="shared" si="2"/>
        <v>9.9499999999999993</v>
      </c>
      <c r="K10">
        <f t="shared" si="0"/>
        <v>2000.0494999999999</v>
      </c>
    </row>
    <row r="11" spans="1:14" x14ac:dyDescent="0.3">
      <c r="A11" s="3">
        <v>10462</v>
      </c>
      <c r="B11" s="1">
        <v>44874</v>
      </c>
      <c r="C11" s="4" t="s">
        <v>9</v>
      </c>
      <c r="D11" s="2">
        <v>573.07000000000005</v>
      </c>
      <c r="E11" s="4" t="s">
        <v>10</v>
      </c>
      <c r="F11" s="4" t="s">
        <v>48</v>
      </c>
      <c r="G11" t="s">
        <v>25</v>
      </c>
      <c r="H11" t="str">
        <f t="shared" si="1"/>
        <v>Remy Monet</v>
      </c>
      <c r="I11" s="4" t="s">
        <v>23</v>
      </c>
      <c r="J11" s="2">
        <f t="shared" si="2"/>
        <v>3.49</v>
      </c>
      <c r="K11">
        <f t="shared" si="0"/>
        <v>2000.0143000000003</v>
      </c>
      <c r="M11" t="s">
        <v>40</v>
      </c>
      <c r="N11" s="3">
        <f>SUMIF(E2:E31,"Online ",K2:K31)</f>
        <v>28368.840700000004</v>
      </c>
    </row>
    <row r="12" spans="1:14" x14ac:dyDescent="0.3">
      <c r="A12" s="3">
        <v>10463</v>
      </c>
      <c r="B12" s="1">
        <v>44874</v>
      </c>
      <c r="C12" s="4" t="s">
        <v>9</v>
      </c>
      <c r="D12" s="2">
        <v>677.97</v>
      </c>
      <c r="E12" s="4" t="s">
        <v>16</v>
      </c>
      <c r="F12" s="4" t="s">
        <v>48</v>
      </c>
      <c r="G12" t="s">
        <v>25</v>
      </c>
      <c r="H12" t="str">
        <f t="shared" si="1"/>
        <v>Remy Monet</v>
      </c>
      <c r="I12" s="4" t="s">
        <v>23</v>
      </c>
      <c r="J12" s="2">
        <f t="shared" si="2"/>
        <v>3.49</v>
      </c>
      <c r="K12">
        <f t="shared" si="0"/>
        <v>2366.1153000000004</v>
      </c>
      <c r="M12" t="s">
        <v>41</v>
      </c>
      <c r="N12" s="3">
        <f>SUMIF(E2:E31,"In-store ",K2:K31)</f>
        <v>58698.506600000001</v>
      </c>
    </row>
    <row r="13" spans="1:14" x14ac:dyDescent="0.3">
      <c r="A13" s="3">
        <v>10464</v>
      </c>
      <c r="B13" s="1">
        <v>44874</v>
      </c>
      <c r="C13" s="4" t="s">
        <v>15</v>
      </c>
      <c r="D13" s="2">
        <v>200.4</v>
      </c>
      <c r="E13" s="4" t="s">
        <v>16</v>
      </c>
      <c r="F13" s="4" t="s">
        <v>31</v>
      </c>
      <c r="G13" t="s">
        <v>24</v>
      </c>
      <c r="H13" t="str">
        <f t="shared" si="1"/>
        <v>Remy Monet</v>
      </c>
      <c r="I13" s="4" t="s">
        <v>23</v>
      </c>
      <c r="J13" s="2">
        <f t="shared" si="2"/>
        <v>4.99</v>
      </c>
      <c r="K13">
        <f t="shared" si="0"/>
        <v>999.99600000000009</v>
      </c>
      <c r="M13" t="s">
        <v>42</v>
      </c>
      <c r="N13">
        <f>AVERAGEIF(E2:E31,"Online ",K2:K31)</f>
        <v>3152.0934111111114</v>
      </c>
    </row>
    <row r="14" spans="1:14" x14ac:dyDescent="0.3">
      <c r="A14" s="3">
        <v>10465</v>
      </c>
      <c r="B14" s="1">
        <v>44875</v>
      </c>
      <c r="C14" s="4" t="s">
        <v>19</v>
      </c>
      <c r="D14" s="2">
        <v>554.27</v>
      </c>
      <c r="E14" s="4" t="s">
        <v>10</v>
      </c>
      <c r="F14" s="4" t="s">
        <v>48</v>
      </c>
      <c r="G14" t="s">
        <v>26</v>
      </c>
      <c r="H14" t="str">
        <f t="shared" si="1"/>
        <v>Pablo Perez</v>
      </c>
      <c r="I14" s="4" t="s">
        <v>14</v>
      </c>
      <c r="J14" s="2">
        <f t="shared" si="2"/>
        <v>12.99</v>
      </c>
      <c r="K14">
        <f t="shared" si="0"/>
        <v>7199.9673000000003</v>
      </c>
      <c r="M14" t="s">
        <v>43</v>
      </c>
      <c r="N14">
        <f>AVERAGEIF(E2:E31,"In-store ",K2:K31)</f>
        <v>2795.166980952381</v>
      </c>
    </row>
    <row r="15" spans="1:14" x14ac:dyDescent="0.3">
      <c r="A15" s="3">
        <v>10466</v>
      </c>
      <c r="B15" s="1">
        <v>44875</v>
      </c>
      <c r="C15" s="4" t="s">
        <v>21</v>
      </c>
      <c r="D15" s="2">
        <v>201.01</v>
      </c>
      <c r="E15" s="4" t="s">
        <v>16</v>
      </c>
      <c r="F15" s="4" t="s">
        <v>48</v>
      </c>
      <c r="G15" t="s">
        <v>26</v>
      </c>
      <c r="H15" t="str">
        <f t="shared" si="1"/>
        <v>Pablo Perez</v>
      </c>
      <c r="I15" s="4" t="s">
        <v>14</v>
      </c>
      <c r="J15" s="2">
        <f t="shared" si="2"/>
        <v>9.9499999999999993</v>
      </c>
      <c r="K15">
        <f t="shared" si="0"/>
        <v>2000.0494999999999</v>
      </c>
      <c r="M15" t="s">
        <v>44</v>
      </c>
      <c r="N15">
        <f>COUNTIF(E2:E31,"Online ")</f>
        <v>9</v>
      </c>
    </row>
    <row r="16" spans="1:14" x14ac:dyDescent="0.3">
      <c r="A16" s="3">
        <v>10467</v>
      </c>
      <c r="B16" s="1">
        <v>44875</v>
      </c>
      <c r="C16" s="4" t="s">
        <v>9</v>
      </c>
      <c r="D16" s="2">
        <v>573.07000000000005</v>
      </c>
      <c r="E16" s="4" t="s">
        <v>10</v>
      </c>
      <c r="F16" s="4" t="s">
        <v>31</v>
      </c>
      <c r="G16" t="s">
        <v>26</v>
      </c>
      <c r="H16" t="str">
        <f t="shared" si="1"/>
        <v>Pablo Perez</v>
      </c>
      <c r="I16" s="4" t="s">
        <v>12</v>
      </c>
      <c r="J16" s="2">
        <f t="shared" si="2"/>
        <v>3.49</v>
      </c>
      <c r="K16">
        <f t="shared" si="0"/>
        <v>2000.0143000000003</v>
      </c>
      <c r="M16" t="s">
        <v>45</v>
      </c>
      <c r="N16">
        <f>COUNTIF(E2:E31,"In-store ")</f>
        <v>21</v>
      </c>
    </row>
    <row r="17" spans="1:14" x14ac:dyDescent="0.3">
      <c r="A17" s="3">
        <v>10468</v>
      </c>
      <c r="B17" s="1">
        <v>44875</v>
      </c>
      <c r="C17" s="4" t="s">
        <v>9</v>
      </c>
      <c r="D17" s="2">
        <v>677.97</v>
      </c>
      <c r="E17" s="4" t="s">
        <v>16</v>
      </c>
      <c r="F17" s="4" t="s">
        <v>48</v>
      </c>
      <c r="G17" t="s">
        <v>13</v>
      </c>
      <c r="H17" t="str">
        <f t="shared" si="1"/>
        <v>Pablo Perez</v>
      </c>
      <c r="I17" s="4" t="s">
        <v>12</v>
      </c>
      <c r="J17" s="2">
        <f t="shared" si="2"/>
        <v>3.49</v>
      </c>
      <c r="K17">
        <f t="shared" si="0"/>
        <v>2366.1153000000004</v>
      </c>
    </row>
    <row r="18" spans="1:14" x14ac:dyDescent="0.3">
      <c r="A18" s="3">
        <v>10470</v>
      </c>
      <c r="B18" s="1">
        <v>44876</v>
      </c>
      <c r="C18" s="4" t="s">
        <v>19</v>
      </c>
      <c r="D18" s="2">
        <v>554.27</v>
      </c>
      <c r="E18" s="4" t="s">
        <v>10</v>
      </c>
      <c r="F18" s="4" t="s">
        <v>47</v>
      </c>
      <c r="G18" t="s">
        <v>13</v>
      </c>
      <c r="H18" t="str">
        <f t="shared" si="1"/>
        <v>Pablo Perez</v>
      </c>
      <c r="I18" s="4" t="s">
        <v>14</v>
      </c>
      <c r="J18" s="2">
        <f t="shared" si="2"/>
        <v>12.99</v>
      </c>
      <c r="K18">
        <f t="shared" si="0"/>
        <v>7199.9673000000003</v>
      </c>
    </row>
    <row r="19" spans="1:14" x14ac:dyDescent="0.3">
      <c r="A19" s="3">
        <v>10471</v>
      </c>
      <c r="B19" s="1">
        <v>44876</v>
      </c>
      <c r="C19" s="4" t="s">
        <v>21</v>
      </c>
      <c r="D19" s="2">
        <v>201.01</v>
      </c>
      <c r="E19" s="4" t="s">
        <v>16</v>
      </c>
      <c r="F19" s="4" t="s">
        <v>48</v>
      </c>
      <c r="G19" t="s">
        <v>13</v>
      </c>
      <c r="H19" t="str">
        <f t="shared" si="1"/>
        <v>Pablo Perez</v>
      </c>
      <c r="I19" s="4" t="s">
        <v>14</v>
      </c>
      <c r="J19" s="2">
        <f t="shared" si="2"/>
        <v>9.9499999999999993</v>
      </c>
      <c r="K19">
        <f t="shared" si="0"/>
        <v>2000.0494999999999</v>
      </c>
      <c r="M19" t="s">
        <v>46</v>
      </c>
      <c r="N19">
        <f>COUNTIFS(E2:E31,"Online ",F2:F31,"Cash")</f>
        <v>3</v>
      </c>
    </row>
    <row r="20" spans="1:14" x14ac:dyDescent="0.3">
      <c r="A20" s="3">
        <v>10472</v>
      </c>
      <c r="B20" s="1">
        <v>44876</v>
      </c>
      <c r="C20" s="4" t="s">
        <v>9</v>
      </c>
      <c r="D20" s="2">
        <v>630.37</v>
      </c>
      <c r="E20" s="4" t="s">
        <v>16</v>
      </c>
      <c r="F20" s="4" t="s">
        <v>48</v>
      </c>
      <c r="G20" t="s">
        <v>27</v>
      </c>
      <c r="H20" t="str">
        <f t="shared" si="1"/>
        <v>Pablo Perez</v>
      </c>
      <c r="I20" s="4" t="s">
        <v>12</v>
      </c>
      <c r="J20" s="2">
        <f t="shared" si="2"/>
        <v>3.49</v>
      </c>
      <c r="K20">
        <f t="shared" si="0"/>
        <v>2199.9913000000001</v>
      </c>
      <c r="N20">
        <f>AVERAGEIFS(K2:K31,E2:E31,"Online ",F2:F31,"Cash")</f>
        <v>2122.0597000000002</v>
      </c>
    </row>
    <row r="21" spans="1:14" x14ac:dyDescent="0.3">
      <c r="A21" s="3">
        <v>10473</v>
      </c>
      <c r="B21" s="1">
        <v>44876</v>
      </c>
      <c r="C21" s="4" t="s">
        <v>9</v>
      </c>
      <c r="D21" s="2">
        <v>677.97</v>
      </c>
      <c r="E21" s="4" t="s">
        <v>16</v>
      </c>
      <c r="F21" s="4" t="s">
        <v>31</v>
      </c>
      <c r="G21" t="s">
        <v>13</v>
      </c>
      <c r="H21" t="str">
        <f t="shared" si="1"/>
        <v>Pablo Perez</v>
      </c>
      <c r="I21" s="4" t="s">
        <v>14</v>
      </c>
      <c r="J21" s="2">
        <f t="shared" si="2"/>
        <v>3.49</v>
      </c>
      <c r="K21">
        <f t="shared" si="0"/>
        <v>2366.1153000000004</v>
      </c>
      <c r="N21">
        <f>SUMIFS(K2:K31,E2:E31,"Online ",F2:F31,"Cash")</f>
        <v>6366.1791000000003</v>
      </c>
    </row>
    <row r="22" spans="1:14" x14ac:dyDescent="0.3">
      <c r="A22" s="3">
        <v>10474</v>
      </c>
      <c r="B22" s="1">
        <v>44876</v>
      </c>
      <c r="C22" s="4" t="s">
        <v>15</v>
      </c>
      <c r="D22" s="2">
        <v>200.4</v>
      </c>
      <c r="E22" s="4" t="s">
        <v>10</v>
      </c>
      <c r="F22" s="4" t="s">
        <v>48</v>
      </c>
      <c r="G22" t="s">
        <v>13</v>
      </c>
      <c r="H22" t="str">
        <f t="shared" si="1"/>
        <v>Pablo Perez</v>
      </c>
      <c r="I22" s="4" t="s">
        <v>12</v>
      </c>
      <c r="J22" s="2">
        <f t="shared" si="2"/>
        <v>4.99</v>
      </c>
      <c r="K22">
        <f t="shared" si="0"/>
        <v>999.99600000000009</v>
      </c>
    </row>
    <row r="23" spans="1:14" x14ac:dyDescent="0.3">
      <c r="A23" s="3">
        <v>10475</v>
      </c>
      <c r="B23" s="1">
        <v>44877</v>
      </c>
      <c r="C23" s="4" t="s">
        <v>19</v>
      </c>
      <c r="D23" s="2">
        <v>523.48</v>
      </c>
      <c r="E23" s="4" t="s">
        <v>16</v>
      </c>
      <c r="F23" s="4" t="s">
        <v>47</v>
      </c>
      <c r="G23" t="s">
        <v>13</v>
      </c>
      <c r="H23" t="str">
        <f t="shared" si="1"/>
        <v>Pablo Perez</v>
      </c>
      <c r="I23" s="4" t="s">
        <v>14</v>
      </c>
      <c r="J23" s="2">
        <f t="shared" si="2"/>
        <v>12.99</v>
      </c>
      <c r="K23">
        <f t="shared" si="0"/>
        <v>6800.0052000000005</v>
      </c>
    </row>
    <row r="24" spans="1:14" x14ac:dyDescent="0.3">
      <c r="A24" s="3">
        <v>10476</v>
      </c>
      <c r="B24" s="1">
        <v>44877</v>
      </c>
      <c r="C24" s="4" t="s">
        <v>21</v>
      </c>
      <c r="D24" s="2">
        <v>201.01</v>
      </c>
      <c r="E24" s="4" t="s">
        <v>16</v>
      </c>
      <c r="F24" s="4" t="s">
        <v>48</v>
      </c>
      <c r="G24" t="s">
        <v>26</v>
      </c>
      <c r="H24" t="str">
        <f t="shared" si="1"/>
        <v>Pablo Perez</v>
      </c>
      <c r="I24" s="4" t="s">
        <v>12</v>
      </c>
      <c r="J24" s="2">
        <f t="shared" si="2"/>
        <v>9.9499999999999993</v>
      </c>
      <c r="K24">
        <f t="shared" si="0"/>
        <v>2000.0494999999999</v>
      </c>
    </row>
    <row r="25" spans="1:14" x14ac:dyDescent="0.3">
      <c r="A25" s="3">
        <v>10477</v>
      </c>
      <c r="B25" s="1">
        <v>44877</v>
      </c>
      <c r="C25" s="4" t="s">
        <v>9</v>
      </c>
      <c r="D25" s="2">
        <v>630.37</v>
      </c>
      <c r="E25" s="4" t="s">
        <v>16</v>
      </c>
      <c r="F25" s="4" t="s">
        <v>47</v>
      </c>
      <c r="G25" t="s">
        <v>28</v>
      </c>
      <c r="H25" t="str">
        <f t="shared" si="1"/>
        <v>Pablo Perez</v>
      </c>
      <c r="I25" s="4" t="s">
        <v>12</v>
      </c>
      <c r="J25" s="2">
        <f t="shared" si="2"/>
        <v>3.49</v>
      </c>
      <c r="K25">
        <f t="shared" si="0"/>
        <v>2199.9913000000001</v>
      </c>
    </row>
    <row r="26" spans="1:14" x14ac:dyDescent="0.3">
      <c r="A26" s="3">
        <v>10478</v>
      </c>
      <c r="B26" s="1">
        <v>44877</v>
      </c>
      <c r="C26" s="4" t="s">
        <v>9</v>
      </c>
      <c r="D26" s="2">
        <v>677.97</v>
      </c>
      <c r="E26" s="4" t="s">
        <v>10</v>
      </c>
      <c r="F26" s="4" t="s">
        <v>31</v>
      </c>
      <c r="G26" t="s">
        <v>26</v>
      </c>
      <c r="H26" t="str">
        <f t="shared" si="1"/>
        <v>Pablo Perez</v>
      </c>
      <c r="I26" s="4" t="s">
        <v>14</v>
      </c>
      <c r="J26" s="2">
        <f t="shared" si="2"/>
        <v>3.49</v>
      </c>
      <c r="K26">
        <f t="shared" si="0"/>
        <v>2366.1153000000004</v>
      </c>
    </row>
    <row r="27" spans="1:14" x14ac:dyDescent="0.3">
      <c r="A27" s="3">
        <v>10479</v>
      </c>
      <c r="B27" s="1">
        <v>44877</v>
      </c>
      <c r="C27" s="4" t="s">
        <v>15</v>
      </c>
      <c r="D27" s="2">
        <v>200.4</v>
      </c>
      <c r="E27" s="4" t="s">
        <v>16</v>
      </c>
      <c r="F27" s="4" t="s">
        <v>48</v>
      </c>
      <c r="G27" t="s">
        <v>29</v>
      </c>
      <c r="H27" t="str">
        <f t="shared" si="1"/>
        <v>Pablo Perez</v>
      </c>
      <c r="I27" s="4" t="s">
        <v>14</v>
      </c>
      <c r="J27" s="2">
        <f t="shared" si="2"/>
        <v>4.99</v>
      </c>
      <c r="K27">
        <f t="shared" si="0"/>
        <v>999.99600000000009</v>
      </c>
    </row>
    <row r="28" spans="1:14" x14ac:dyDescent="0.3">
      <c r="A28" s="3">
        <v>10480</v>
      </c>
      <c r="B28" s="1">
        <v>44878</v>
      </c>
      <c r="C28" s="4" t="s">
        <v>19</v>
      </c>
      <c r="D28" s="2">
        <v>508.08</v>
      </c>
      <c r="E28" s="4" t="s">
        <v>16</v>
      </c>
      <c r="F28" s="4" t="s">
        <v>48</v>
      </c>
      <c r="G28" t="s">
        <v>26</v>
      </c>
      <c r="H28" t="str">
        <f t="shared" si="1"/>
        <v>Pablo Perez</v>
      </c>
      <c r="I28" s="4" t="s">
        <v>18</v>
      </c>
      <c r="J28" s="2">
        <f t="shared" si="2"/>
        <v>12.99</v>
      </c>
      <c r="K28">
        <f t="shared" si="0"/>
        <v>6599.9592000000002</v>
      </c>
    </row>
    <row r="29" spans="1:14" x14ac:dyDescent="0.3">
      <c r="A29" s="3">
        <v>10481</v>
      </c>
      <c r="B29" s="1">
        <v>44878</v>
      </c>
      <c r="C29" s="4" t="s">
        <v>21</v>
      </c>
      <c r="D29" s="2">
        <v>201.01</v>
      </c>
      <c r="E29" s="4" t="s">
        <v>10</v>
      </c>
      <c r="F29" s="4" t="s">
        <v>31</v>
      </c>
      <c r="G29" t="s">
        <v>26</v>
      </c>
      <c r="H29" t="str">
        <f t="shared" si="1"/>
        <v>Pablo Perez</v>
      </c>
      <c r="I29" s="4" t="s">
        <v>14</v>
      </c>
      <c r="J29" s="2">
        <f t="shared" si="2"/>
        <v>9.9499999999999993</v>
      </c>
      <c r="K29">
        <f t="shared" si="0"/>
        <v>2000.0494999999999</v>
      </c>
    </row>
    <row r="30" spans="1:14" x14ac:dyDescent="0.3">
      <c r="A30" s="3">
        <v>10482</v>
      </c>
      <c r="B30" s="1">
        <v>44878</v>
      </c>
      <c r="C30" s="4" t="s">
        <v>9</v>
      </c>
      <c r="D30" s="2">
        <v>630.37</v>
      </c>
      <c r="E30" s="4" t="s">
        <v>16</v>
      </c>
      <c r="F30" s="4" t="s">
        <v>48</v>
      </c>
      <c r="G30" t="s">
        <v>30</v>
      </c>
      <c r="H30" t="str">
        <f t="shared" si="1"/>
        <v>Joao Silva</v>
      </c>
      <c r="I30" s="4" t="s">
        <v>12</v>
      </c>
      <c r="J30" s="2">
        <f t="shared" si="2"/>
        <v>3.49</v>
      </c>
      <c r="K30">
        <f t="shared" si="0"/>
        <v>2199.9913000000001</v>
      </c>
    </row>
    <row r="31" spans="1:14" x14ac:dyDescent="0.3">
      <c r="A31" s="3">
        <v>10459</v>
      </c>
      <c r="B31" s="1">
        <v>44873</v>
      </c>
      <c r="C31" s="4" t="s">
        <v>15</v>
      </c>
      <c r="D31" s="2">
        <v>200.4</v>
      </c>
      <c r="E31" s="4" t="s">
        <v>16</v>
      </c>
      <c r="F31" s="4" t="s">
        <v>47</v>
      </c>
      <c r="G31" t="s">
        <v>20</v>
      </c>
      <c r="H31" t="str">
        <f t="shared" si="1"/>
        <v>Walter Muller</v>
      </c>
      <c r="I31" s="4" t="s">
        <v>12</v>
      </c>
      <c r="J31" s="2">
        <f t="shared" si="2"/>
        <v>4.99</v>
      </c>
      <c r="K31">
        <f t="shared" si="0"/>
        <v>999.99600000000009</v>
      </c>
    </row>
  </sheetData>
  <conditionalFormatting sqref="D1:D1048576">
    <cfRule type="top10" dxfId="6" priority="1" bottom="1" rank="5"/>
    <cfRule type="top10" dxfId="5" priority="2" rank="10"/>
    <cfRule type="top10" dxfId="4" priority="3" rank="5"/>
  </conditionalFormatting>
  <conditionalFormatting sqref="E1:E1048576">
    <cfRule type="containsText" dxfId="3" priority="6" operator="containsText" text="In-store">
      <formula>NOT(ISERROR(SEARCH("In-store",E1)))</formula>
    </cfRule>
    <cfRule type="containsText" dxfId="2" priority="7" operator="containsText" text="Online ">
      <formula>NOT(ISERROR(SEARCH("Online ",E1)))</formula>
    </cfRule>
  </conditionalFormatting>
  <conditionalFormatting sqref="K1:K1048576">
    <cfRule type="cellIs" dxfId="1" priority="4" operator="lessThan">
      <formula>1000</formula>
    </cfRule>
    <cfRule type="cellIs" dxfId="0" priority="5" operator="greaterThan">
      <formula>5000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"/>
  <sheetViews>
    <sheetView tabSelected="1" topLeftCell="A4" zoomScale="88" workbookViewId="0">
      <selection activeCell="O47" sqref="O4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Sheet2</vt:lpstr>
      <vt:lpstr>Sheet4</vt:lpstr>
      <vt:lpstr>Restaurant</vt:lpstr>
      <vt:lpstr>dashboard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Devi Swetha</dc:creator>
  <cp:lastModifiedBy>ryeona1330@outlook.com</cp:lastModifiedBy>
  <dcterms:created xsi:type="dcterms:W3CDTF">2026-06-08T04:06:44Z</dcterms:created>
  <dcterms:modified xsi:type="dcterms:W3CDTF">2026-08-01T16:45:08Z</dcterms:modified>
</cp:coreProperties>
</file>